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인덱스" sheetId="1" state="visible" r:id="rId1"/>
    <sheet xmlns:r="http://schemas.openxmlformats.org/officeDocument/2006/relationships" name="FE" sheetId="2" state="visible" r:id="rId2"/>
    <sheet xmlns:r="http://schemas.openxmlformats.org/officeDocument/2006/relationships" name="BE" sheetId="3" state="visible" r:id="rId3"/>
    <sheet xmlns:r="http://schemas.openxmlformats.org/officeDocument/2006/relationships" name="DevOps" sheetId="4" state="visible" r:id="rId4"/>
  </sheets>
  <definedNames>
    <definedName name="_xlnm._FilterDatabase" localSheetId="1" hidden="1">'FE'!$A$1:$M$47</definedName>
    <definedName name="_xlnm._FilterDatabase" localSheetId="2" hidden="1">'BE'!$A$1:$M$27</definedName>
    <definedName name="_xlnm._FilterDatabase" localSheetId="3" hidden="1">'DevOps'!$A$1:$M$37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b val="1"/>
      <sz val="10"/>
    </font>
    <font>
      <name val="맑은 고딕"/>
      <sz val="10"/>
    </font>
    <font>
      <name val="맑은 고딕"/>
      <b val="1"/>
      <sz val="11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left"/>
    </xf>
    <xf numFmtId="0" fontId="2" fillId="3" borderId="1" applyAlignment="1" pivotButton="0" quotePrefix="0" xfId="0">
      <alignment horizontal="center"/>
    </xf>
    <xf numFmtId="0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center"/>
    </xf>
    <xf numFmtId="0" fontId="3" fillId="0" borderId="0" applyAlignment="1" pivotButton="0" quotePrefix="0" xfId="0">
      <alignment vertical="top" wrapText="1"/>
    </xf>
    <xf numFmtId="0" fontId="3" fillId="0" borderId="1" pivotButton="0" quotePrefix="0" xfId="0"/>
    <xf numFmtId="164" fontId="3" fillId="0" borderId="1" applyAlignment="1" pivotButton="0" quotePrefix="0" xfId="0">
      <alignment horizontal="center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ill>
        <patternFill patternType="solid">
          <fgColor rgb="00E2EFDA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EDEDE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지반침하 스마트관리 시스템 작업목록</t>
        </is>
      </c>
    </row>
    <row r="3">
      <c r="A3" s="2" t="inlineStr">
        <is>
          <t>버전</t>
        </is>
      </c>
      <c r="B3" s="3" t="inlineStr">
        <is>
          <t>V0.2 (전체본, DevOps 실제 날짜)</t>
        </is>
      </c>
    </row>
    <row r="4">
      <c r="A4" s="2" t="inlineStr">
        <is>
          <t>기준일</t>
        </is>
      </c>
      <c r="B4" s="4" t="n">
        <v>46315</v>
      </c>
    </row>
    <row r="5">
      <c r="A5" s="2" t="inlineStr">
        <is>
          <t>기간</t>
        </is>
      </c>
      <c r="B5" s="3" t="inlineStr">
        <is>
          <t>2026-08-03 부터 2026-10-20 까지 한 일 + 그 뒤 할 일</t>
        </is>
      </c>
    </row>
    <row r="6">
      <c r="A6" s="2" t="inlineStr">
        <is>
          <t>작성</t>
        </is>
      </c>
      <c r="B6" s="3" t="inlineStr">
        <is>
          <t>(주)이노팸</t>
        </is>
      </c>
    </row>
    <row r="7">
      <c r="A7" s="2" t="inlineStr">
        <is>
          <t>담당자</t>
        </is>
      </c>
      <c r="B7" s="3" t="inlineStr">
        <is>
          <t>FE 김재헌·정하늘 / BE 김규영·조혜인·전재환·유소운·최성민 / DevOps 박가람</t>
        </is>
      </c>
    </row>
    <row r="8">
      <c r="A8" s="2" t="inlineStr">
        <is>
          <t>날짜 성격</t>
        </is>
      </c>
      <c r="B8" s="3" t="inlineStr">
        <is>
          <t>FE: 사람별로, BE: 팀 한 줄기로 8/3 부터 순서대로 배치한 계획형 일정(BE 5명은 영역별로 나눠 맡음). DevOps: dev0 저장소 docs/history 의 실제 날짜(10/06 시작, 하루에 여러 작업) — 예정만 기준일 뒤로 배정</t>
        </is>
      </c>
    </row>
    <row r="9">
      <c r="A9" s="2" t="inlineStr">
        <is>
          <t>요구사항ID 출처</t>
        </is>
      </c>
      <c r="B9" s="3" t="inlineStr">
        <is>
          <t>지반침하스마트관리시스템_요구사항정의서-V1.0.xlsx 의 세부요구사항ID(SFR·NFR)</t>
        </is>
      </c>
    </row>
    <row r="10">
      <c r="A10" s="2" t="inlineStr">
        <is>
          <t>화면ID 출처</t>
        </is>
      </c>
      <c r="B10" s="3" t="inlineStr">
        <is>
          <t>지반침하 스마트관리 시스템_화면정의서-V1.0.pptx 의 화면 ID(SCR-001–013, 아래 표)</t>
        </is>
      </c>
    </row>
    <row r="12">
      <c r="A12" s="5" t="inlineStr">
        <is>
          <t>시트</t>
        </is>
      </c>
    </row>
    <row r="13">
      <c r="A13" s="6" t="inlineStr">
        <is>
          <t>시트</t>
        </is>
      </c>
      <c r="B13" s="6" t="inlineStr">
        <is>
          <t>내용</t>
        </is>
      </c>
      <c r="C13" s="6" t="inlineStr">
        <is>
          <t>담당자</t>
        </is>
      </c>
      <c r="D13" s="6" t="inlineStr">
        <is>
          <t>작업 수</t>
        </is>
      </c>
      <c r="E13" s="6" t="inlineStr">
        <is>
          <t>완료</t>
        </is>
      </c>
      <c r="F13" s="6" t="inlineStr">
        <is>
          <t>진행</t>
        </is>
      </c>
      <c r="G13" s="6" t="inlineStr">
        <is>
          <t>예정</t>
        </is>
      </c>
      <c r="H13" s="6" t="inlineStr">
        <is>
          <t>공수 합(일)</t>
        </is>
      </c>
    </row>
    <row r="14">
      <c r="A14" s="7" t="inlineStr">
        <is>
          <t>FE</t>
        </is>
      </c>
      <c r="B14" s="7" t="inlineStr">
        <is>
          <t>프런트엔드 — 지도·레이어·조회·관리자 화면·내보내기·품질 검사</t>
        </is>
      </c>
      <c r="C14" s="7" t="inlineStr">
        <is>
          <t>김재헌, 정하늘</t>
        </is>
      </c>
      <c r="D14" s="8">
        <f>COUNTA(FE!$A:$A)-1</f>
        <v/>
      </c>
      <c r="E14" s="8">
        <f>COUNTIF(FE!$I:$I,"완료")</f>
        <v/>
      </c>
      <c r="F14" s="8">
        <f>COUNTIF(FE!$I:$I,"진행")</f>
        <v/>
      </c>
      <c r="G14" s="8">
        <f>COUNTIF(FE!$I:$I,"예정")</f>
        <v/>
      </c>
      <c r="H14" s="8">
        <f>SUM(FE!$H:$H)</f>
        <v/>
      </c>
    </row>
    <row r="15">
      <c r="A15" s="7" t="inlineStr">
        <is>
          <t>BE</t>
        </is>
      </c>
      <c r="B15" s="7" t="inlineStr">
        <is>
          <t>백엔드 — 자료 파이프라인·격자·지수(CSI)·API·객체 저장소·품질 검사</t>
        </is>
      </c>
      <c r="C15" s="7" t="inlineStr">
        <is>
          <t>김규영, 조혜인, 전재환, 유소운, 최성민</t>
        </is>
      </c>
      <c r="D15" s="8">
        <f>COUNTA(BE!$A:$A)-1</f>
        <v/>
      </c>
      <c r="E15" s="8">
        <f>COUNTIF(BE!$I:$I,"완료")</f>
        <v/>
      </c>
      <c r="F15" s="8">
        <f>COUNTIF(BE!$I:$I,"진행")</f>
        <v/>
      </c>
      <c r="G15" s="8">
        <f>COUNTIF(BE!$I:$I,"예정")</f>
        <v/>
      </c>
      <c r="H15" s="8">
        <f>SUM(BE!$H:$H)</f>
        <v/>
      </c>
    </row>
    <row r="16">
      <c r="A16" s="7" t="inlineStr">
        <is>
          <t>DevOps</t>
        </is>
      </c>
      <c r="B16" s="7" t="inlineStr">
        <is>
          <t>운영(dev0, 실제 날짜) — Proxmox·Talos·Cilium·스토리지·백업·CI 러너·GitOps 배포</t>
        </is>
      </c>
      <c r="C16" s="7" t="inlineStr">
        <is>
          <t>박가람</t>
        </is>
      </c>
      <c r="D16" s="8">
        <f>COUNTA(DevOps!$A:$A)-1</f>
        <v/>
      </c>
      <c r="E16" s="8">
        <f>COUNTIF(DevOps!$I:$I,"완료")</f>
        <v/>
      </c>
      <c r="F16" s="8">
        <f>COUNTIF(DevOps!$I:$I,"진행")</f>
        <v/>
      </c>
      <c r="G16" s="8">
        <f>COUNTIF(DevOps!$I:$I,"예정")</f>
        <v/>
      </c>
      <c r="H16" s="8">
        <f>SUM(DevOps!$H:$H)</f>
        <v/>
      </c>
    </row>
    <row r="17">
      <c r="A17" s="9" t="inlineStr">
        <is>
          <t>합계</t>
        </is>
      </c>
      <c r="B17" s="9" t="inlineStr"/>
      <c r="C17" s="9" t="inlineStr"/>
      <c r="D17" s="10">
        <f>SUM(D14:D16)</f>
        <v/>
      </c>
      <c r="E17" s="10">
        <f>SUM(E14:E16)</f>
        <v/>
      </c>
      <c r="F17" s="10">
        <f>SUM(F14:F16)</f>
        <v/>
      </c>
      <c r="G17" s="10">
        <f>SUM(G14:G16)</f>
        <v/>
      </c>
      <c r="H17" s="10">
        <f>SUM(H14:H16)</f>
        <v/>
      </c>
    </row>
    <row r="19">
      <c r="A19" s="5" t="inlineStr">
        <is>
          <t>담당자</t>
        </is>
      </c>
    </row>
    <row r="20">
      <c r="A20" s="6" t="inlineStr">
        <is>
          <t>담당자</t>
        </is>
      </c>
      <c r="B20" s="6" t="inlineStr">
        <is>
          <t>시트</t>
        </is>
      </c>
      <c r="C20" s="6" t="inlineStr">
        <is>
          <t>작업 수</t>
        </is>
      </c>
      <c r="D20" s="6" t="inlineStr">
        <is>
          <t>완료</t>
        </is>
      </c>
      <c r="E20" s="6" t="inlineStr">
        <is>
          <t>진행</t>
        </is>
      </c>
      <c r="F20" s="6" t="inlineStr">
        <is>
          <t>예정</t>
        </is>
      </c>
      <c r="G20" s="6" t="inlineStr">
        <is>
          <t>공수 합(일)</t>
        </is>
      </c>
    </row>
    <row r="21">
      <c r="A21" s="11" t="inlineStr">
        <is>
          <t>김재헌</t>
        </is>
      </c>
      <c r="B21" s="11" t="inlineStr">
        <is>
          <t>FE</t>
        </is>
      </c>
      <c r="C21" s="12">
        <f>COUNTIF(FE!$E:$E,"김재헌")</f>
        <v/>
      </c>
      <c r="D21" s="12">
        <f>COUNTIFS(FE!$E:$E,"김재헌",FE!$I:$I,"완료")</f>
        <v/>
      </c>
      <c r="E21" s="12">
        <f>COUNTIFS(FE!$E:$E,"김재헌",FE!$I:$I,"진행")</f>
        <v/>
      </c>
      <c r="F21" s="12">
        <f>COUNTIFS(FE!$E:$E,"김재헌",FE!$I:$I,"예정")</f>
        <v/>
      </c>
      <c r="G21" s="12">
        <f>SUMIF(FE!$E:$E,"김재헌",FE!$H:$H)</f>
        <v/>
      </c>
    </row>
    <row r="22">
      <c r="A22" s="11" t="inlineStr">
        <is>
          <t>정하늘</t>
        </is>
      </c>
      <c r="B22" s="11" t="inlineStr">
        <is>
          <t>FE</t>
        </is>
      </c>
      <c r="C22" s="12">
        <f>COUNTIF(FE!$E:$E,"정하늘")</f>
        <v/>
      </c>
      <c r="D22" s="12">
        <f>COUNTIFS(FE!$E:$E,"정하늘",FE!$I:$I,"완료")</f>
        <v/>
      </c>
      <c r="E22" s="12">
        <f>COUNTIFS(FE!$E:$E,"정하늘",FE!$I:$I,"진행")</f>
        <v/>
      </c>
      <c r="F22" s="12">
        <f>COUNTIFS(FE!$E:$E,"정하늘",FE!$I:$I,"예정")</f>
        <v/>
      </c>
      <c r="G22" s="12">
        <f>SUMIF(FE!$E:$E,"정하늘",FE!$H:$H)</f>
        <v/>
      </c>
    </row>
    <row r="23">
      <c r="A23" s="11" t="inlineStr">
        <is>
          <t>김규영</t>
        </is>
      </c>
      <c r="B23" s="11" t="inlineStr">
        <is>
          <t>BE</t>
        </is>
      </c>
      <c r="C23" s="12">
        <f>COUNTIF(BE!$E:$E,"김규영")</f>
        <v/>
      </c>
      <c r="D23" s="12">
        <f>COUNTIFS(BE!$E:$E,"김규영",BE!$I:$I,"완료")</f>
        <v/>
      </c>
      <c r="E23" s="12">
        <f>COUNTIFS(BE!$E:$E,"김규영",BE!$I:$I,"진행")</f>
        <v/>
      </c>
      <c r="F23" s="12">
        <f>COUNTIFS(BE!$E:$E,"김규영",BE!$I:$I,"예정")</f>
        <v/>
      </c>
      <c r="G23" s="12">
        <f>SUMIF(BE!$E:$E,"김규영",BE!$H:$H)</f>
        <v/>
      </c>
    </row>
    <row r="24">
      <c r="A24" s="11" t="inlineStr">
        <is>
          <t>조혜인</t>
        </is>
      </c>
      <c r="B24" s="11" t="inlineStr">
        <is>
          <t>BE</t>
        </is>
      </c>
      <c r="C24" s="12">
        <f>COUNTIF(BE!$E:$E,"조혜인")</f>
        <v/>
      </c>
      <c r="D24" s="12">
        <f>COUNTIFS(BE!$E:$E,"조혜인",BE!$I:$I,"완료")</f>
        <v/>
      </c>
      <c r="E24" s="12">
        <f>COUNTIFS(BE!$E:$E,"조혜인",BE!$I:$I,"진행")</f>
        <v/>
      </c>
      <c r="F24" s="12">
        <f>COUNTIFS(BE!$E:$E,"조혜인",BE!$I:$I,"예정")</f>
        <v/>
      </c>
      <c r="G24" s="12">
        <f>SUMIF(BE!$E:$E,"조혜인",BE!$H:$H)</f>
        <v/>
      </c>
    </row>
    <row r="25">
      <c r="A25" s="11" t="inlineStr">
        <is>
          <t>전재환</t>
        </is>
      </c>
      <c r="B25" s="11" t="inlineStr">
        <is>
          <t>BE</t>
        </is>
      </c>
      <c r="C25" s="12">
        <f>COUNTIF(BE!$E:$E,"전재환")</f>
        <v/>
      </c>
      <c r="D25" s="12">
        <f>COUNTIFS(BE!$E:$E,"전재환",BE!$I:$I,"완료")</f>
        <v/>
      </c>
      <c r="E25" s="12">
        <f>COUNTIFS(BE!$E:$E,"전재환",BE!$I:$I,"진행")</f>
        <v/>
      </c>
      <c r="F25" s="12">
        <f>COUNTIFS(BE!$E:$E,"전재환",BE!$I:$I,"예정")</f>
        <v/>
      </c>
      <c r="G25" s="12">
        <f>SUMIF(BE!$E:$E,"전재환",BE!$H:$H)</f>
        <v/>
      </c>
    </row>
    <row r="26">
      <c r="A26" s="11" t="inlineStr">
        <is>
          <t>유소운</t>
        </is>
      </c>
      <c r="B26" s="11" t="inlineStr">
        <is>
          <t>BE</t>
        </is>
      </c>
      <c r="C26" s="12">
        <f>COUNTIF(BE!$E:$E,"유소운")</f>
        <v/>
      </c>
      <c r="D26" s="12">
        <f>COUNTIFS(BE!$E:$E,"유소운",BE!$I:$I,"완료")</f>
        <v/>
      </c>
      <c r="E26" s="12">
        <f>COUNTIFS(BE!$E:$E,"유소운",BE!$I:$I,"진행")</f>
        <v/>
      </c>
      <c r="F26" s="12">
        <f>COUNTIFS(BE!$E:$E,"유소운",BE!$I:$I,"예정")</f>
        <v/>
      </c>
      <c r="G26" s="12">
        <f>SUMIF(BE!$E:$E,"유소운",BE!$H:$H)</f>
        <v/>
      </c>
    </row>
    <row r="27">
      <c r="A27" s="11" t="inlineStr">
        <is>
          <t>최성민</t>
        </is>
      </c>
      <c r="B27" s="11" t="inlineStr">
        <is>
          <t>BE</t>
        </is>
      </c>
      <c r="C27" s="12">
        <f>COUNTIF(BE!$E:$E,"최성민")</f>
        <v/>
      </c>
      <c r="D27" s="12">
        <f>COUNTIFS(BE!$E:$E,"최성민",BE!$I:$I,"완료")</f>
        <v/>
      </c>
      <c r="E27" s="12">
        <f>COUNTIFS(BE!$E:$E,"최성민",BE!$I:$I,"진행")</f>
        <v/>
      </c>
      <c r="F27" s="12">
        <f>COUNTIFS(BE!$E:$E,"최성민",BE!$I:$I,"예정")</f>
        <v/>
      </c>
      <c r="G27" s="12">
        <f>SUMIF(BE!$E:$E,"최성민",BE!$H:$H)</f>
        <v/>
      </c>
    </row>
    <row r="28">
      <c r="A28" s="11" t="inlineStr">
        <is>
          <t>박가람</t>
        </is>
      </c>
      <c r="B28" s="11" t="inlineStr">
        <is>
          <t>DevOps</t>
        </is>
      </c>
      <c r="C28" s="12">
        <f>COUNTIF(DevOps!$E:$E,"박가람")</f>
        <v/>
      </c>
      <c r="D28" s="12">
        <f>COUNTIFS(DevOps!$E:$E,"박가람",DevOps!$I:$I,"완료")</f>
        <v/>
      </c>
      <c r="E28" s="12">
        <f>COUNTIFS(DevOps!$E:$E,"박가람",DevOps!$I:$I,"진행")</f>
        <v/>
      </c>
      <c r="F28" s="12">
        <f>COUNTIFS(DevOps!$E:$E,"박가람",DevOps!$I:$I,"예정")</f>
        <v/>
      </c>
      <c r="G28" s="12">
        <f>SUMIF(DevOps!$E:$E,"박가람",DevOps!$H:$H)</f>
        <v/>
      </c>
    </row>
    <row r="30">
      <c r="A30" s="5" t="inlineStr">
        <is>
          <t>작성 규칙</t>
        </is>
      </c>
    </row>
    <row r="31">
      <c r="A31" s="2" t="inlineStr">
        <is>
          <t>ID</t>
        </is>
      </c>
      <c r="B31" s="13" t="inlineStr">
        <is>
          <t>시트 이름 + 번호(FE-001, BE-001, DEVOPS-001). 시작일 순. 번호는 바뀌지 않는 식별자로 쓴다.</t>
        </is>
      </c>
    </row>
    <row r="32">
      <c r="A32" s="2" t="inlineStr">
        <is>
          <t>상태</t>
        </is>
      </c>
      <c r="B32" s="13" t="inlineStr">
        <is>
          <t>완료: 기준일 이전에 끝남 / 진행: 기준일에 하고 있음(종료일은 예정일) / 예정: 기준일 뒤 시작</t>
        </is>
      </c>
    </row>
    <row r="33">
      <c r="A33" s="2" t="inlineStr">
        <is>
          <t>날짜</t>
        </is>
      </c>
      <c r="B33" s="13" t="inlineStr">
        <is>
          <t>주말과 아래 공휴일을 뺀 근무일만 쓴다. FE·BE 는 같은 담당자의 작업 기간이 겹치지 않는다. DevOps 는 실제 날짜라 하루에 여러 작업이 있고, 공수 합은 사람·일이 아니다. 공수(일)는 NETWORKDAYS 로 계산하되 휴일에 한 실제 작업(DevOps 10/09 한글날·10/10 토요일)은 최소 1일로 센다.</t>
        </is>
      </c>
    </row>
    <row r="34">
      <c r="A34" s="2" t="inlineStr">
        <is>
          <t>영역</t>
        </is>
      </c>
      <c r="B34" s="13" t="inlineStr">
        <is>
          <t>시트 안에서 작업을 묶는 작은 분류(FE: 지도·패널·조회·관리자·품질… / BE: 자료·격자·지수·API·저장소·DB·타일… / DevOps: 가상화·클러스터·네트워크·스토리지·백업·CI·GitOps…)</t>
        </is>
      </c>
    </row>
    <row r="35">
      <c r="A35" s="2" t="inlineStr">
        <is>
          <t>관련 요구사항ID</t>
        </is>
      </c>
      <c r="B35" s="13" t="inlineStr">
        <is>
          <t>요구사항정의서의 세부요구사항ID. 기능은 SFR-00n-0m, 비기능은 NFR-00n-0m. 직접 대응이 없으면 '-'</t>
        </is>
      </c>
    </row>
    <row r="36">
      <c r="A36" s="2" t="inlineStr">
        <is>
          <t>관련 화면ID</t>
        </is>
      </c>
      <c r="B36" s="13" t="inlineStr">
        <is>
          <t>화면정의서의 SCR-001–013. 화면이 없는 작업은 '-'</t>
        </is>
      </c>
    </row>
    <row r="37">
      <c r="A37" s="2" t="inlineStr">
        <is>
          <t>산출물</t>
        </is>
      </c>
      <c r="B37" s="13" t="inlineStr">
        <is>
          <t>저장소 경로, 파일, GitHub 이슈 번호, 운영 저장소 할 일 번호(W##)</t>
        </is>
      </c>
    </row>
    <row r="39">
      <c r="A39" s="5" t="inlineStr">
        <is>
          <t>공휴일(근무일 계산에서 제외)</t>
        </is>
      </c>
    </row>
    <row r="40">
      <c r="A40" s="6" t="inlineStr">
        <is>
          <t>이름</t>
        </is>
      </c>
      <c r="B40" s="6" t="inlineStr">
        <is>
          <t>날짜</t>
        </is>
      </c>
    </row>
    <row r="41">
      <c r="A41" s="14" t="inlineStr">
        <is>
          <t>광복절 대체공휴일</t>
        </is>
      </c>
      <c r="B41" s="15" t="n">
        <v>46251</v>
      </c>
    </row>
    <row r="42">
      <c r="A42" s="14" t="inlineStr">
        <is>
          <t>추석 연휴</t>
        </is>
      </c>
      <c r="B42" s="15" t="n">
        <v>46289</v>
      </c>
    </row>
    <row r="43">
      <c r="A43" s="14" t="inlineStr">
        <is>
          <t>추석</t>
        </is>
      </c>
      <c r="B43" s="15" t="n">
        <v>46290</v>
      </c>
    </row>
    <row r="44">
      <c r="A44" s="14" t="inlineStr">
        <is>
          <t>추석 대체공휴일</t>
        </is>
      </c>
      <c r="B44" s="15" t="n">
        <v>46293</v>
      </c>
    </row>
    <row r="45">
      <c r="A45" s="14" t="inlineStr">
        <is>
          <t>개천절 대체공휴일</t>
        </is>
      </c>
      <c r="B45" s="15" t="n">
        <v>46300</v>
      </c>
    </row>
    <row r="46">
      <c r="A46" s="14" t="inlineStr">
        <is>
          <t>한글날</t>
        </is>
      </c>
      <c r="B46" s="15" t="n">
        <v>46304</v>
      </c>
    </row>
    <row r="47">
      <c r="A47" s="14" t="inlineStr">
        <is>
          <t>성탄절</t>
        </is>
      </c>
      <c r="B47" s="15" t="n">
        <v>46381</v>
      </c>
    </row>
    <row r="49">
      <c r="A49" s="5" t="inlineStr">
        <is>
          <t>화면 ID (화면정의서 V1.0)</t>
        </is>
      </c>
    </row>
    <row r="50">
      <c r="A50" s="6" t="inlineStr">
        <is>
          <t>화면ID</t>
        </is>
      </c>
      <c r="B50" s="6" t="inlineStr">
        <is>
          <t>화면명</t>
        </is>
      </c>
    </row>
    <row r="51">
      <c r="A51" s="14" t="inlineStr">
        <is>
          <t>SCR-001</t>
        </is>
      </c>
      <c r="B51" s="14" t="inlineStr">
        <is>
          <t>위험지역 조회 – 조회 조건 설정</t>
        </is>
      </c>
    </row>
    <row r="52">
      <c r="A52" s="14" t="inlineStr">
        <is>
          <t>SCR-002</t>
        </is>
      </c>
      <c r="B52" s="14" t="inlineStr">
        <is>
          <t>위험지역 조회 – 조회 결과</t>
        </is>
      </c>
    </row>
    <row r="53">
      <c r="A53" s="14" t="inlineStr">
        <is>
          <t>SCR-003</t>
        </is>
      </c>
      <c r="B53" s="14" t="inlineStr">
        <is>
          <t>위험지역 조회 – 구역 상세 · 판단 근거</t>
        </is>
      </c>
    </row>
    <row r="54">
      <c r="A54" s="14" t="inlineStr">
        <is>
          <t>SCR-004</t>
        </is>
      </c>
      <c r="B54" s="14" t="inlineStr">
        <is>
          <t>지도 레이어 – 지반 변위(10m 격자)</t>
        </is>
      </c>
    </row>
    <row r="55">
      <c r="A55" s="14" t="inlineStr">
        <is>
          <t>SCR-005</t>
        </is>
      </c>
      <c r="B55" s="14" t="inlineStr">
        <is>
          <t>지도 레이어 – 지하시설물(관로 · 굴착공사)</t>
        </is>
      </c>
    </row>
    <row r="56">
      <c r="A56" s="14" t="inlineStr">
        <is>
          <t>SCR-006</t>
        </is>
      </c>
      <c r="B56" s="14" t="inlineStr">
        <is>
          <t>지도 레이어 – 침하 사고이력</t>
        </is>
      </c>
    </row>
    <row r="57">
      <c r="A57" s="14" t="inlineStr">
        <is>
          <t>SCR-007</t>
        </is>
      </c>
      <c r="B57" s="14" t="inlineStr">
        <is>
          <t>위험 징후 알림</t>
        </is>
      </c>
    </row>
    <row r="58">
      <c r="A58" s="14" t="inlineStr">
        <is>
          <t>SCR-008</t>
        </is>
      </c>
      <c r="B58" s="14" t="inlineStr">
        <is>
          <t>공간정보 내보내기</t>
        </is>
      </c>
    </row>
    <row r="59">
      <c r="A59" s="14" t="inlineStr">
        <is>
          <t>SCR-009</t>
        </is>
      </c>
      <c r="B59" s="14" t="inlineStr">
        <is>
          <t>분석 리포트 자동 생성</t>
        </is>
      </c>
    </row>
    <row r="60">
      <c r="A60" s="14" t="inlineStr">
        <is>
          <t>SCR-010</t>
        </is>
      </c>
      <c r="B60" s="14" t="inlineStr">
        <is>
          <t>관리자 – 지도 레이어 권한</t>
        </is>
      </c>
    </row>
    <row r="61">
      <c r="A61" s="14" t="inlineStr">
        <is>
          <t>SCR-011</t>
        </is>
      </c>
      <c r="B61" s="14" t="inlineStr">
        <is>
          <t>관리자 – 파일 내보내기 권한</t>
        </is>
      </c>
    </row>
    <row r="62">
      <c r="A62" s="14" t="inlineStr">
        <is>
          <t>SCR-012</t>
        </is>
      </c>
      <c r="B62" s="14" t="inlineStr">
        <is>
          <t>관리자 – 사고 이력 관리</t>
        </is>
      </c>
    </row>
    <row r="63">
      <c r="A63" s="14" t="inlineStr">
        <is>
          <t>SCR-013</t>
        </is>
      </c>
      <c r="B63" s="14" t="inlineStr">
        <is>
          <t>관리자 – 작업 기록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60" customWidth="1" min="4" max="4"/>
    <col width="9" customWidth="1" min="5" max="5"/>
    <col width="11" customWidth="1" min="6" max="6"/>
    <col width="11" customWidth="1" min="7" max="7"/>
    <col width="8" customWidth="1" min="8" max="8"/>
    <col width="7" customWidth="1" min="9" max="9"/>
    <col width="20" customWidth="1" min="10" max="10"/>
    <col width="16" customWidth="1" min="11" max="11"/>
    <col width="34" customWidth="1" min="12" max="12"/>
    <col width="30" customWidth="1" min="13" max="13"/>
  </cols>
  <sheetData>
    <row r="1" ht="24" customHeight="1">
      <c r="A1" s="6" t="inlineStr">
        <is>
          <t>ID</t>
        </is>
      </c>
      <c r="B1" s="6" t="inlineStr">
        <is>
          <t>영역</t>
        </is>
      </c>
      <c r="C1" s="6" t="inlineStr">
        <is>
          <t>작업명</t>
        </is>
      </c>
      <c r="D1" s="6" t="inlineStr">
        <is>
          <t>작업 내용</t>
        </is>
      </c>
      <c r="E1" s="6" t="inlineStr">
        <is>
          <t>담당자</t>
        </is>
      </c>
      <c r="F1" s="6" t="inlineStr">
        <is>
          <t>시작일</t>
        </is>
      </c>
      <c r="G1" s="6" t="inlineStr">
        <is>
          <t>종료일</t>
        </is>
      </c>
      <c r="H1" s="6" t="inlineStr">
        <is>
          <t>공수(일)</t>
        </is>
      </c>
      <c r="I1" s="6" t="inlineStr">
        <is>
          <t>상태</t>
        </is>
      </c>
      <c r="J1" s="6" t="inlineStr">
        <is>
          <t>관련 요구사항ID</t>
        </is>
      </c>
      <c r="K1" s="6" t="inlineStr">
        <is>
          <t>관련 화면ID</t>
        </is>
      </c>
      <c r="L1" s="6" t="inlineStr">
        <is>
          <t>산출물</t>
        </is>
      </c>
      <c r="M1" s="6" t="inlineStr">
        <is>
          <t>비고</t>
        </is>
      </c>
    </row>
    <row r="2">
      <c r="A2" s="8" t="inlineStr">
        <is>
          <t>FE-001</t>
        </is>
      </c>
      <c r="B2" s="8" t="inlineStr">
        <is>
          <t>골격</t>
        </is>
      </c>
      <c r="C2" s="16" t="inlineStr">
        <is>
          <t>FE 프로젝트 골격</t>
        </is>
      </c>
      <c r="D2" s="16" t="inlineStr">
        <is>
          <t>Vite + React 프로젝트 생성, 폴더 구조(components·lib·styles·data), 개발 서버·빌드 스크립트, .env 로 브이월드 키 분리</t>
        </is>
      </c>
      <c r="E2" s="8" t="inlineStr">
        <is>
          <t>김재헌</t>
        </is>
      </c>
      <c r="F2" s="17" t="n">
        <v>46237</v>
      </c>
      <c r="G2" s="17" t="n">
        <v>46239</v>
      </c>
      <c r="H2" s="8">
        <f>MAX(1,NETWORKDAYS(F2,G2,인덱스!$B$41:$B$47))</f>
        <v/>
      </c>
      <c r="I2" s="8" t="inlineStr">
        <is>
          <t>완료</t>
        </is>
      </c>
      <c r="J2" s="16" t="inlineStr">
        <is>
          <t>NFR-009-01</t>
        </is>
      </c>
      <c r="K2" s="16" t="inlineStr">
        <is>
          <t>-</t>
        </is>
      </c>
      <c r="L2" s="16" t="inlineStr">
        <is>
          <t>app/, vite.config, .env.example</t>
        </is>
      </c>
      <c r="M2" s="16" t="inlineStr"/>
    </row>
    <row r="3">
      <c r="A3" s="8" t="inlineStr">
        <is>
          <t>FE-002</t>
        </is>
      </c>
      <c r="B3" s="8" t="inlineStr">
        <is>
          <t>디자인</t>
        </is>
      </c>
      <c r="C3" s="16" t="inlineStr">
        <is>
          <t>디자인 토큰·아이콘·글꼴</t>
        </is>
      </c>
      <c r="D3" s="16" t="inlineStr">
        <is>
          <t>GEO-AI 변수(Primary·Neutral·etc·Body·Btn)를 tokens.css 로 옮기기, 아이콘 SVG 정리(Figma 찌꺼기 제거), Roboto·Noto Sans KR·자간 −0.02em</t>
        </is>
      </c>
      <c r="E3" s="8" t="inlineStr">
        <is>
          <t>정하늘</t>
        </is>
      </c>
      <c r="F3" s="17" t="n">
        <v>46237</v>
      </c>
      <c r="G3" s="17" t="n">
        <v>46238</v>
      </c>
      <c r="H3" s="8">
        <f>MAX(1,NETWORKDAYS(F3,G3,인덱스!$B$41:$B$47))</f>
        <v/>
      </c>
      <c r="I3" s="8" t="inlineStr">
        <is>
          <t>완료</t>
        </is>
      </c>
      <c r="J3" s="16" t="inlineStr">
        <is>
          <t>NFR-009-01</t>
        </is>
      </c>
      <c r="K3" s="16" t="inlineStr">
        <is>
          <t>-</t>
        </is>
      </c>
      <c r="L3" s="16" t="inlineStr">
        <is>
          <t>src/styles/tokens.css, public/icons/</t>
        </is>
      </c>
      <c r="M3" s="16" t="inlineStr"/>
    </row>
    <row r="4">
      <c r="A4" s="8" t="inlineStr">
        <is>
          <t>FE-003</t>
        </is>
      </c>
      <c r="B4" s="8" t="inlineStr">
        <is>
          <t>화면</t>
        </is>
      </c>
      <c r="C4" s="16" t="inlineStr">
        <is>
          <t>헤더·GNB</t>
        </is>
      </c>
      <c r="D4" s="16" t="inlineStr">
        <is>
          <t>알림 배지(직전 분석 대비 신규·상향 건수), 도움말, 관리자, 홈 — 실제로 동작하는 것만 연결</t>
        </is>
      </c>
      <c r="E4" s="8" t="inlineStr">
        <is>
          <t>정하늘</t>
        </is>
      </c>
      <c r="F4" s="17" t="n">
        <v>46239</v>
      </c>
      <c r="G4" s="17" t="n">
        <v>46240</v>
      </c>
      <c r="H4" s="8">
        <f>MAX(1,NETWORKDAYS(F4,G4,인덱스!$B$41:$B$47))</f>
        <v/>
      </c>
      <c r="I4" s="8" t="inlineStr">
        <is>
          <t>완료</t>
        </is>
      </c>
      <c r="J4" s="16" t="inlineStr">
        <is>
          <t>NFR-009-01</t>
        </is>
      </c>
      <c r="K4" s="16" t="inlineStr">
        <is>
          <t>SCR-001</t>
        </is>
      </c>
      <c r="L4" s="16" t="inlineStr">
        <is>
          <t>components/Header</t>
        </is>
      </c>
      <c r="M4" s="16" t="inlineStr"/>
    </row>
    <row r="5">
      <c r="A5" s="8" t="inlineStr">
        <is>
          <t>FE-004</t>
        </is>
      </c>
      <c r="B5" s="8" t="inlineStr">
        <is>
          <t>지도</t>
        </is>
      </c>
      <c r="C5" s="16" t="inlineStr">
        <is>
          <t>지도 뷰어 기반(MapPane)</t>
        </is>
      </c>
      <c r="D5" s="16" t="inlineStr">
        <is>
          <t>Leaflet 지도와 뷰 상태(중심·배율·범위), EPSG:5186 ↔ WGS84 변환, 제주 범위 고정, 배경지도(브이월드) 켜고 끄기</t>
        </is>
      </c>
      <c r="E5" s="8" t="inlineStr">
        <is>
          <t>김재헌</t>
        </is>
      </c>
      <c r="F5" s="17" t="n">
        <v>46240</v>
      </c>
      <c r="G5" s="17" t="n">
        <v>46244</v>
      </c>
      <c r="H5" s="8">
        <f>MAX(1,NETWORKDAYS(F5,G5,인덱스!$B$41:$B$47))</f>
        <v/>
      </c>
      <c r="I5" s="8" t="inlineStr">
        <is>
          <t>완료</t>
        </is>
      </c>
      <c r="J5" s="16" t="inlineStr">
        <is>
          <t>SFR-007-01, NFR-009-01</t>
        </is>
      </c>
      <c r="K5" s="16" t="inlineStr">
        <is>
          <t>SCR-001</t>
        </is>
      </c>
      <c r="L5" s="16" t="inlineStr">
        <is>
          <t>components/MapPane</t>
        </is>
      </c>
      <c r="M5" s="16" t="inlineStr"/>
    </row>
    <row r="6">
      <c r="A6" s="8" t="inlineStr">
        <is>
          <t>FE-005</t>
        </is>
      </c>
      <c r="B6" s="8" t="inlineStr">
        <is>
          <t>조회</t>
        </is>
      </c>
      <c r="C6" s="16" t="inlineStr">
        <is>
          <t>조회 조건(지역·기간·등급)</t>
        </is>
      </c>
      <c r="D6" s="16" t="inlineStr">
        <is>
          <t>AnalysisFilter·RegionSelect·MonthPicker: 읍면동 선택, 분석 기간, 등급, 지도 범위 필터</t>
        </is>
      </c>
      <c r="E6" s="8" t="inlineStr">
        <is>
          <t>정하늘</t>
        </is>
      </c>
      <c r="F6" s="17" t="n">
        <v>46241</v>
      </c>
      <c r="G6" s="17" t="n">
        <v>46246</v>
      </c>
      <c r="H6" s="8">
        <f>MAX(1,NETWORKDAYS(F6,G6,인덱스!$B$41:$B$47))</f>
        <v/>
      </c>
      <c r="I6" s="8" t="inlineStr">
        <is>
          <t>완료</t>
        </is>
      </c>
      <c r="J6" s="16" t="inlineStr">
        <is>
          <t>SFR-007-03</t>
        </is>
      </c>
      <c r="K6" s="16" t="inlineStr">
        <is>
          <t>SCR-001</t>
        </is>
      </c>
      <c r="L6" s="16" t="inlineStr">
        <is>
          <t>components/AnalysisFilter, RegionSelect, MonthPicker</t>
        </is>
      </c>
      <c r="M6" s="16" t="inlineStr"/>
    </row>
    <row r="7">
      <c r="A7" s="8" t="inlineStr">
        <is>
          <t>FE-006</t>
        </is>
      </c>
      <c r="B7" s="8" t="inlineStr">
        <is>
          <t>지도</t>
        </is>
      </c>
      <c r="C7" s="16" t="inlineStr">
        <is>
          <t>해안선·지질·재해위험지구 GeoJSON 레이어</t>
        </is>
      </c>
      <c r="D7" s="16" t="inlineStr">
        <is>
          <t>수치지질도에서 만든 해안선(coast)과 지질 폴리곤, 재해위험지구를 GeoJsonLayer 로 표시, 속성 툴팁</t>
        </is>
      </c>
      <c r="E7" s="8" t="inlineStr">
        <is>
          <t>김재헌</t>
        </is>
      </c>
      <c r="F7" s="17" t="n">
        <v>46245</v>
      </c>
      <c r="G7" s="17" t="n">
        <v>46246</v>
      </c>
      <c r="H7" s="8">
        <f>MAX(1,NETWORKDAYS(F7,G7,인덱스!$B$41:$B$47))</f>
        <v/>
      </c>
      <c r="I7" s="8" t="inlineStr">
        <is>
          <t>완료</t>
        </is>
      </c>
      <c r="J7" s="16" t="inlineStr">
        <is>
          <t>SFR-007-01</t>
        </is>
      </c>
      <c r="K7" s="16" t="inlineStr">
        <is>
          <t>SCR-001</t>
        </is>
      </c>
      <c r="L7" s="16" t="inlineStr">
        <is>
          <t>components/layers/GeoJsonLayer</t>
        </is>
      </c>
      <c r="M7" s="16" t="inlineStr">
        <is>
          <t>망 분리 환경에서는 배경지도 없이 해안선이 위치감을 대신</t>
        </is>
      </c>
    </row>
    <row r="8">
      <c r="A8" s="8" t="inlineStr">
        <is>
          <t>FE-007</t>
        </is>
      </c>
      <c r="B8" s="8" t="inlineStr">
        <is>
          <t>지도</t>
        </is>
      </c>
      <c r="C8" s="16" t="inlineStr">
        <is>
          <t>격자 셀 렌더링(GridCellsLayer)</t>
        </is>
      </c>
      <c r="D8" s="16" t="inlineStr">
        <is>
          <t>셀을 남서 꼭짓점 + 셀 크기로 그리는 방식, 100 m 셀은 단순화 끔(smoothFactor 0), 10 m 셀은 1.02 겹침으로 흰 틈 제거, 화면 안 셀만 그리기</t>
        </is>
      </c>
      <c r="E8" s="8" t="inlineStr">
        <is>
          <t>김재헌</t>
        </is>
      </c>
      <c r="F8" s="17" t="n">
        <v>46247</v>
      </c>
      <c r="G8" s="17" t="n">
        <v>46253</v>
      </c>
      <c r="H8" s="8">
        <f>MAX(1,NETWORKDAYS(F8,G8,인덱스!$B$41:$B$47))</f>
        <v/>
      </c>
      <c r="I8" s="8" t="inlineStr">
        <is>
          <t>완료</t>
        </is>
      </c>
      <c r="J8" s="16" t="inlineStr">
        <is>
          <t>SFR-001-01, NFR-001-01</t>
        </is>
      </c>
      <c r="K8" s="16" t="inlineStr">
        <is>
          <t>SCR-004</t>
        </is>
      </c>
      <c r="L8" s="16" t="inlineStr">
        <is>
          <t>components/layers/GridCellsLayer</t>
        </is>
      </c>
      <c r="M8" s="16" t="inlineStr"/>
    </row>
    <row r="9">
      <c r="A9" s="8" t="inlineStr">
        <is>
          <t>FE-008</t>
        </is>
      </c>
      <c r="B9" s="8" t="inlineStr">
        <is>
          <t>조회</t>
        </is>
      </c>
      <c r="C9" s="16" t="inlineStr">
        <is>
          <t>조회 결과(도넛·순위 목록)</t>
        </is>
      </c>
      <c r="D9" s="16" t="inlineStr">
        <is>
          <t>등급 분포 도넛(GradeDonut), 위험 후보지역 순위 목록(RankPanel)·페이징, 목록 ↔ 지도 핀 연동</t>
        </is>
      </c>
      <c r="E9" s="8" t="inlineStr">
        <is>
          <t>정하늘</t>
        </is>
      </c>
      <c r="F9" s="17" t="n">
        <v>46247</v>
      </c>
      <c r="G9" s="17" t="n">
        <v>46253</v>
      </c>
      <c r="H9" s="8">
        <f>MAX(1,NETWORKDAYS(F9,G9,인덱스!$B$41:$B$47))</f>
        <v/>
      </c>
      <c r="I9" s="8" t="inlineStr">
        <is>
          <t>완료</t>
        </is>
      </c>
      <c r="J9" s="16" t="inlineStr">
        <is>
          <t>SFR-003-02, SFR-003-05</t>
        </is>
      </c>
      <c r="K9" s="16" t="inlineStr">
        <is>
          <t>SCR-002</t>
        </is>
      </c>
      <c r="L9" s="16" t="inlineStr">
        <is>
          <t>components/GradeDonut, RankPanel</t>
        </is>
      </c>
      <c r="M9" s="16" t="inlineStr"/>
    </row>
    <row r="10">
      <c r="A10" s="8" t="inlineStr">
        <is>
          <t>FE-009</t>
        </is>
      </c>
      <c r="B10" s="8" t="inlineStr">
        <is>
          <t>지도</t>
        </is>
      </c>
      <c r="C10" s="16" t="inlineStr">
        <is>
          <t>InSAR 지반 변위 레이어</t>
        </is>
      </c>
      <c r="D10" s="16" t="inlineStr">
        <is>
          <t>2 km 블록 타일(insar10m/{x}_{y}.json) 지연 로딩, 배율에 따라 10 m / 100 m 집계 셀 전환, 발산형 배색(변위속도), 툴팁(변위속도·누적변위)</t>
        </is>
      </c>
      <c r="E10" s="8" t="inlineStr">
        <is>
          <t>김재헌</t>
        </is>
      </c>
      <c r="F10" s="17" t="n">
        <v>46254</v>
      </c>
      <c r="G10" s="17" t="n">
        <v>46259</v>
      </c>
      <c r="H10" s="8">
        <f>MAX(1,NETWORKDAYS(F10,G10,인덱스!$B$41:$B$47))</f>
        <v/>
      </c>
      <c r="I10" s="8" t="inlineStr">
        <is>
          <t>완료</t>
        </is>
      </c>
      <c r="J10" s="16" t="inlineStr">
        <is>
          <t>SFR-002-01, SFR-003-01</t>
        </is>
      </c>
      <c r="K10" s="16" t="inlineStr">
        <is>
          <t>SCR-004</t>
        </is>
      </c>
      <c r="L10" s="16" t="inlineStr">
        <is>
          <t>insar 레이어 설정, GridCellsLayer</t>
        </is>
      </c>
      <c r="M10" s="16" t="inlineStr"/>
    </row>
    <row r="11">
      <c r="A11" s="8" t="inlineStr">
        <is>
          <t>FE-010</t>
        </is>
      </c>
      <c r="B11" s="8" t="inlineStr">
        <is>
          <t>조회</t>
        </is>
      </c>
      <c r="C11" s="16" t="inlineStr">
        <is>
          <t>구역 상세·판단 근거</t>
        </is>
      </c>
      <c r="D11" s="16" t="inlineStr">
        <is>
          <t>DetailPanel: 인자별 기여도 막대·점수, 대표 변위값, 원인 후보 Top-N, 권장 점검 방식</t>
        </is>
      </c>
      <c r="E11" s="8" t="inlineStr">
        <is>
          <t>정하늘</t>
        </is>
      </c>
      <c r="F11" s="17" t="n">
        <v>46254</v>
      </c>
      <c r="G11" s="17" t="n">
        <v>46258</v>
      </c>
      <c r="H11" s="8">
        <f>MAX(1,NETWORKDAYS(F11,G11,인덱스!$B$41:$B$47))</f>
        <v/>
      </c>
      <c r="I11" s="8" t="inlineStr">
        <is>
          <t>완료</t>
        </is>
      </c>
      <c r="J11" s="16" t="inlineStr">
        <is>
          <t>SFR-006-03, SFR-003-04</t>
        </is>
      </c>
      <c r="K11" s="16" t="inlineStr">
        <is>
          <t>SCR-003</t>
        </is>
      </c>
      <c r="L11" s="16" t="inlineStr">
        <is>
          <t>components/DetailPanel</t>
        </is>
      </c>
      <c r="M11" s="16" t="inlineStr"/>
    </row>
    <row r="12">
      <c r="A12" s="8" t="inlineStr">
        <is>
          <t>FE-011</t>
        </is>
      </c>
      <c r="B12" s="8" t="inlineStr">
        <is>
          <t>지도</t>
        </is>
      </c>
      <c r="C12" s="16" t="inlineStr">
        <is>
          <t>지하시설물 레이어(관로·굴착)</t>
        </is>
      </c>
      <c r="D12" s="16" t="inlineStr">
        <is>
          <t>관로 GeoJSON 스타일(연한·관종), 굴착 공사 건수 클러스터(CountClusterLayer, 동 단위 집계)</t>
        </is>
      </c>
      <c r="E12" s="8" t="inlineStr">
        <is>
          <t>정하늘</t>
        </is>
      </c>
      <c r="F12" s="17" t="n">
        <v>46259</v>
      </c>
      <c r="G12" s="17" t="n">
        <v>46261</v>
      </c>
      <c r="H12" s="8">
        <f>MAX(1,NETWORKDAYS(F12,G12,인덱스!$B$41:$B$47))</f>
        <v/>
      </c>
      <c r="I12" s="8" t="inlineStr">
        <is>
          <t>완료</t>
        </is>
      </c>
      <c r="J12" s="16" t="inlineStr">
        <is>
          <t>SFR-001-02, SFR-004-02</t>
        </is>
      </c>
      <c r="K12" s="16" t="inlineStr">
        <is>
          <t>SCR-005</t>
        </is>
      </c>
      <c r="L12" s="16" t="inlineStr">
        <is>
          <t>components/layers/CountClusterLayer</t>
        </is>
      </c>
      <c r="M12" s="16" t="inlineStr">
        <is>
          <t>굴착 허가는 좌표가 없어 동 단위</t>
        </is>
      </c>
    </row>
    <row r="13">
      <c r="A13" s="8" t="inlineStr">
        <is>
          <t>FE-012</t>
        </is>
      </c>
      <c r="B13" s="8" t="inlineStr">
        <is>
          <t>지도</t>
        </is>
      </c>
      <c r="C13" s="16" t="inlineStr">
        <is>
          <t>위험격자(CSI) 레이어·등급 라벨</t>
        </is>
      </c>
      <c r="D13" s="16" t="inlineStr">
        <is>
          <t>100 m 격자 CSI 점수·등급 A–E 채색, 배율 15 이상에서 셀 라벨(`CSI 83`, 700개 상한), 지반 변위 레이어와 같은 층이라 배타 표시(exclusiveWith)</t>
        </is>
      </c>
      <c r="E13" s="8" t="inlineStr">
        <is>
          <t>김재헌</t>
        </is>
      </c>
      <c r="F13" s="17" t="n">
        <v>46260</v>
      </c>
      <c r="G13" s="17" t="n">
        <v>46262</v>
      </c>
      <c r="H13" s="8">
        <f>MAX(1,NETWORKDAYS(F13,G13,인덱스!$B$41:$B$47))</f>
        <v/>
      </c>
      <c r="I13" s="8" t="inlineStr">
        <is>
          <t>완료</t>
        </is>
      </c>
      <c r="J13" s="16" t="inlineStr">
        <is>
          <t>SFR-001-05, SFR-003-03</t>
        </is>
      </c>
      <c r="K13" s="16" t="inlineStr">
        <is>
          <t>SCR-002, SCR-004</t>
        </is>
      </c>
      <c r="L13" s="16" t="inlineStr">
        <is>
          <t>csi 레이어 설정</t>
        </is>
      </c>
      <c r="M13" s="16" t="inlineStr"/>
    </row>
    <row r="14">
      <c r="A14" s="8" t="inlineStr">
        <is>
          <t>FE-013</t>
        </is>
      </c>
      <c r="B14" s="8" t="inlineStr">
        <is>
          <t>지도</t>
        </is>
      </c>
      <c r="C14" s="16" t="inlineStr">
        <is>
          <t>침하 사고이력 레이어·사고 관리 화면</t>
        </is>
      </c>
      <c r="D14" s="16" t="inlineStr">
        <is>
          <t>사고 지점 마커·툴팁(IncidentPointsLayer), 관리자용 사고 이력 등록·수정 화면(IncidentPage)</t>
        </is>
      </c>
      <c r="E14" s="8" t="inlineStr">
        <is>
          <t>정하늘</t>
        </is>
      </c>
      <c r="F14" s="17" t="n">
        <v>46262</v>
      </c>
      <c r="G14" s="17" t="n">
        <v>46267</v>
      </c>
      <c r="H14" s="8">
        <f>MAX(1,NETWORKDAYS(F14,G14,인덱스!$B$41:$B$47))</f>
        <v/>
      </c>
      <c r="I14" s="8" t="inlineStr">
        <is>
          <t>완료</t>
        </is>
      </c>
      <c r="J14" s="16" t="inlineStr">
        <is>
          <t>SFR-001-02</t>
        </is>
      </c>
      <c r="K14" s="16" t="inlineStr">
        <is>
          <t>SCR-006, SCR-012</t>
        </is>
      </c>
      <c r="L14" s="16" t="inlineStr">
        <is>
          <t>components/layers/IncidentPointsLayer, IncidentPage, lib/incidents</t>
        </is>
      </c>
      <c r="M14" s="16" t="inlineStr"/>
    </row>
    <row r="15">
      <c r="A15" s="8" t="inlineStr">
        <is>
          <t>FE-014</t>
        </is>
      </c>
      <c r="B15" s="8" t="inlineStr">
        <is>
          <t>지도</t>
        </is>
      </c>
      <c r="C15" s="16" t="inlineStr">
        <is>
          <t>그리기 성능 정리</t>
        </is>
      </c>
      <c r="D15" s="16" t="inlineStr">
        <is>
          <t>화면 범위 밖 셀 생략, 타일 캐시(블록 단위), 배율 전환 시 재그리기 최소화, 10 m 셀 25만 개 기준 끊김 없는지 확인</t>
        </is>
      </c>
      <c r="E15" s="8" t="inlineStr">
        <is>
          <t>김재헌</t>
        </is>
      </c>
      <c r="F15" s="17" t="n">
        <v>46265</v>
      </c>
      <c r="G15" s="17" t="n">
        <v>46267</v>
      </c>
      <c r="H15" s="8">
        <f>MAX(1,NETWORKDAYS(F15,G15,인덱스!$B$41:$B$47))</f>
        <v/>
      </c>
      <c r="I15" s="8" t="inlineStr">
        <is>
          <t>완료</t>
        </is>
      </c>
      <c r="J15" s="16" t="inlineStr">
        <is>
          <t>NFR-001-01</t>
        </is>
      </c>
      <c r="K15" s="16" t="inlineStr">
        <is>
          <t>SCR-004</t>
        </is>
      </c>
      <c r="L15" s="16" t="inlineStr">
        <is>
          <t>lib/useLayerSource</t>
        </is>
      </c>
      <c r="M15" s="16" t="inlineStr"/>
    </row>
    <row r="16">
      <c r="A16" s="8" t="inlineStr">
        <is>
          <t>FE-015</t>
        </is>
      </c>
      <c r="B16" s="8" t="inlineStr">
        <is>
          <t>패널</t>
        </is>
      </c>
      <c r="C16" s="16" t="inlineStr">
        <is>
          <t>레이어 패널·범례</t>
        </is>
      </c>
      <c r="D16" s="16" t="inlineStr">
        <is>
          <t>레이어 켜고 끄기, 순서(z-order), 배경지도 켜면 숨는 레이어(hideWithBasemap), 레이어 설정에서 범례 자동 생성</t>
        </is>
      </c>
      <c r="E16" s="8" t="inlineStr">
        <is>
          <t>김재헌</t>
        </is>
      </c>
      <c r="F16" s="17" t="n">
        <v>46268</v>
      </c>
      <c r="G16" s="17" t="n">
        <v>46272</v>
      </c>
      <c r="H16" s="8">
        <f>MAX(1,NETWORKDAYS(F16,G16,인덱스!$B$41:$B$47))</f>
        <v/>
      </c>
      <c r="I16" s="8" t="inlineStr">
        <is>
          <t>완료</t>
        </is>
      </c>
      <c r="J16" s="16" t="inlineStr">
        <is>
          <t>SFR-007-01</t>
        </is>
      </c>
      <c r="K16" s="16" t="inlineStr">
        <is>
          <t>SCR-001</t>
        </is>
      </c>
      <c r="L16" s="16" t="inlineStr">
        <is>
          <t>components/LayerPanel, components/Legend</t>
        </is>
      </c>
      <c r="M16" s="16" t="inlineStr"/>
    </row>
    <row r="17">
      <c r="A17" s="8" t="inlineStr">
        <is>
          <t>FE-016</t>
        </is>
      </c>
      <c r="B17" s="8" t="inlineStr">
        <is>
          <t>조회</t>
        </is>
      </c>
      <c r="C17" s="16" t="inlineStr">
        <is>
          <t>위험 징후 알림</t>
        </is>
      </c>
      <c r="D17" s="16" t="inlineStr">
        <is>
          <t>AlertPanel: 직전 분석 대비 신규·상향 구역 목록, 배지에서 바로 걸러 보기</t>
        </is>
      </c>
      <c r="E17" s="8" t="inlineStr">
        <is>
          <t>정하늘</t>
        </is>
      </c>
      <c r="F17" s="17" t="n">
        <v>46268</v>
      </c>
      <c r="G17" s="17" t="n">
        <v>46269</v>
      </c>
      <c r="H17" s="8">
        <f>MAX(1,NETWORKDAYS(F17,G17,인덱스!$B$41:$B$47))</f>
        <v/>
      </c>
      <c r="I17" s="8" t="inlineStr">
        <is>
          <t>완료</t>
        </is>
      </c>
      <c r="J17" s="16" t="inlineStr">
        <is>
          <t>SFR-008-05</t>
        </is>
      </c>
      <c r="K17" s="16" t="inlineStr">
        <is>
          <t>SCR-007</t>
        </is>
      </c>
      <c r="L17" s="16" t="inlineStr">
        <is>
          <t>components/AlertPanel</t>
        </is>
      </c>
      <c r="M17" s="16" t="inlineStr"/>
    </row>
    <row r="18">
      <c r="A18" s="8" t="inlineStr">
        <is>
          <t>FE-017</t>
        </is>
      </c>
      <c r="B18" s="8" t="inlineStr">
        <is>
          <t>내보내기</t>
        </is>
      </c>
      <c r="C18" s="16" t="inlineStr">
        <is>
          <t>공간정보 내보내기·리포트</t>
        </is>
      </c>
      <c r="D18" s="16" t="inlineStr">
        <is>
          <t>GeoJSON·CSV·Excel·PDF(국문 글꼴 내장) 내보내기, 메타데이터 6종 표기, 조회 조건 그대로 리포트 생성</t>
        </is>
      </c>
      <c r="E18" s="8" t="inlineStr">
        <is>
          <t>정하늘</t>
        </is>
      </c>
      <c r="F18" s="17" t="n">
        <v>46272</v>
      </c>
      <c r="G18" s="17" t="n">
        <v>46275</v>
      </c>
      <c r="H18" s="8">
        <f>MAX(1,NETWORKDAYS(F18,G18,인덱스!$B$41:$B$47))</f>
        <v/>
      </c>
      <c r="I18" s="8" t="inlineStr">
        <is>
          <t>완료</t>
        </is>
      </c>
      <c r="J18" s="16" t="inlineStr">
        <is>
          <t>SFR-007-04, SFR-007-05, NFR-008-01</t>
        </is>
      </c>
      <c r="K18" s="16" t="inlineStr">
        <is>
          <t>SCR-008, SCR-009</t>
        </is>
      </c>
      <c r="L18" s="16" t="inlineStr">
        <is>
          <t>components/ExportActions, lib/exporters, lib/pdfFont</t>
        </is>
      </c>
      <c r="M18" s="16" t="inlineStr">
        <is>
          <t>SHP·GeoTIFF 는 서버 연계 뒤</t>
        </is>
      </c>
    </row>
    <row r="19">
      <c r="A19" s="8" t="inlineStr">
        <is>
          <t>FE-018</t>
        </is>
      </c>
      <c r="B19" s="8" t="inlineStr">
        <is>
          <t>조회</t>
        </is>
      </c>
      <c r="C19" s="16" t="inlineStr">
        <is>
          <t>기간 설정(RunBar)·기간별 점수 전환</t>
        </is>
      </c>
      <c r="D19" s="16" t="inlineStr">
        <is>
          <t>관측 연도 구간(from–to)을 고르면 미리 계산된 점수 파일(out/scores/{from}-{to}.json)로 바꿔 그리기, 위치·기간 칩</t>
        </is>
      </c>
      <c r="E19" s="8" t="inlineStr">
        <is>
          <t>김재헌</t>
        </is>
      </c>
      <c r="F19" s="17" t="n">
        <v>46273</v>
      </c>
      <c r="G19" s="17" t="n">
        <v>46275</v>
      </c>
      <c r="H19" s="8">
        <f>MAX(1,NETWORKDAYS(F19,G19,인덱스!$B$41:$B$47))</f>
        <v/>
      </c>
      <c r="I19" s="8" t="inlineStr">
        <is>
          <t>완료</t>
        </is>
      </c>
      <c r="J19" s="16" t="inlineStr">
        <is>
          <t>SFR-007-02</t>
        </is>
      </c>
      <c r="K19" s="16" t="inlineStr">
        <is>
          <t>SCR-001, SCR-002</t>
        </is>
      </c>
      <c r="L19" s="16" t="inlineStr">
        <is>
          <t>App(RunBar), lib/runHistory</t>
        </is>
      </c>
      <c r="M19" s="16" t="inlineStr">
        <is>
          <t>타임슬라이더는 시계열 InSAR 입수 뒤(예정)</t>
        </is>
      </c>
    </row>
    <row r="20">
      <c r="A20" s="8" t="inlineStr">
        <is>
          <t>FE-019</t>
        </is>
      </c>
      <c r="B20" s="8" t="inlineStr">
        <is>
          <t>구조</t>
        </is>
      </c>
      <c r="C20" s="16" t="inlineStr">
        <is>
          <t>워크스페이스·레이어 설정(manifest) 로딩</t>
        </is>
      </c>
      <c r="D20" s="16" t="inlineStr">
        <is>
          <t>orgs/{org}/workspaces/{ws}/workspace.json(순서·가시성·스타일)과 layers/{layer}/manifest.json 을 읽어 레이어를 동적으로 구성, 레이어 종류별 렌더러 맵(grid-cells·geojson·incident-points·count-cluster·risk-index)</t>
        </is>
      </c>
      <c r="E20" s="8" t="inlineStr">
        <is>
          <t>김재헌</t>
        </is>
      </c>
      <c r="F20" s="17" t="n">
        <v>46276</v>
      </c>
      <c r="G20" s="17" t="n">
        <v>46282</v>
      </c>
      <c r="H20" s="8">
        <f>MAX(1,NETWORKDAYS(F20,G20,인덱스!$B$41:$B$47))</f>
        <v/>
      </c>
      <c r="I20" s="8" t="inlineStr">
        <is>
          <t>완료</t>
        </is>
      </c>
      <c r="J20" s="16" t="inlineStr">
        <is>
          <t>SFR-007-01, NFR-002-02</t>
        </is>
      </c>
      <c r="K20" s="16" t="inlineStr">
        <is>
          <t>SCR-001</t>
        </is>
      </c>
      <c r="L20" s="16" t="inlineStr">
        <is>
          <t>lib/workspace, lib/useLayerSource, components/layers/*</t>
        </is>
      </c>
      <c r="M20" s="16" t="inlineStr">
        <is>
          <t>하드코딩 레이어 제거</t>
        </is>
      </c>
    </row>
    <row r="21">
      <c r="A21" s="8" t="inlineStr">
        <is>
          <t>FE-020</t>
        </is>
      </c>
      <c r="B21" s="8" t="inlineStr">
        <is>
          <t>관리자</t>
        </is>
      </c>
      <c r="C21" s="16" t="inlineStr">
        <is>
          <t>권한·작업 기록 화면</t>
        </is>
      </c>
      <c r="D21" s="16" t="inlineStr">
        <is>
          <t>레이어 권한·파일 내보내기 권한(AdminPage, lib/perms), 작업 기록(AuditPage, lib/audit): 내보내기·사고 변경·권한 변경 자동 기록, 엑셀 내려받기</t>
        </is>
      </c>
      <c r="E21" s="8" t="inlineStr">
        <is>
          <t>정하늘</t>
        </is>
      </c>
      <c r="F21" s="17" t="n">
        <v>46276</v>
      </c>
      <c r="G21" s="17" t="n">
        <v>46281</v>
      </c>
      <c r="H21" s="8">
        <f>MAX(1,NETWORKDAYS(F21,G21,인덱스!$B$41:$B$47))</f>
        <v/>
      </c>
      <c r="I21" s="8" t="inlineStr">
        <is>
          <t>완료</t>
        </is>
      </c>
      <c r="J21" s="16" t="inlineStr">
        <is>
          <t>SFR-008-02, NFR-003-05</t>
        </is>
      </c>
      <c r="K21" s="16" t="inlineStr">
        <is>
          <t>SCR-010, SCR-011, SCR-013</t>
        </is>
      </c>
      <c r="L21" s="16" t="inlineStr">
        <is>
          <t>components/AdminPage, AuditPage, lib/perms, lib/audit</t>
        </is>
      </c>
      <c r="M21" s="16" t="inlineStr">
        <is>
          <t>브라우저 저장 — 감사 증적은 서버 저장으로 옮겨야 함(예정)</t>
        </is>
      </c>
    </row>
    <row r="22">
      <c r="A22" s="8" t="inlineStr">
        <is>
          <t>FE-021</t>
        </is>
      </c>
      <c r="B22" s="8" t="inlineStr">
        <is>
          <t>화면</t>
        </is>
      </c>
      <c r="C22" s="16" t="inlineStr">
        <is>
          <t>도움말·산정 모델 설명</t>
        </is>
      </c>
      <c r="D22" s="16" t="inlineStr">
        <is>
          <t>산정 모델(가중치·등급 기준)과 자료 한계(가속도 미산출, 동 단위 굴착)를 화면 안에서 설명</t>
        </is>
      </c>
      <c r="E22" s="8" t="inlineStr">
        <is>
          <t>정하늘</t>
        </is>
      </c>
      <c r="F22" s="17" t="n">
        <v>46282</v>
      </c>
      <c r="G22" s="17" t="n">
        <v>46282</v>
      </c>
      <c r="H22" s="8">
        <f>MAX(1,NETWORKDAYS(F22,G22,인덱스!$B$41:$B$47))</f>
        <v/>
      </c>
      <c r="I22" s="8" t="inlineStr">
        <is>
          <t>완료</t>
        </is>
      </c>
      <c r="J22" s="16" t="inlineStr">
        <is>
          <t>NFR-007-02</t>
        </is>
      </c>
      <c r="K22" s="16" t="inlineStr">
        <is>
          <t>SCR-003</t>
        </is>
      </c>
      <c r="L22" s="16" t="inlineStr">
        <is>
          <t>Header 도움말</t>
        </is>
      </c>
      <c r="M22" s="16" t="inlineStr"/>
    </row>
    <row r="23">
      <c r="A23" s="8" t="inlineStr">
        <is>
          <t>FE-022</t>
        </is>
      </c>
      <c r="B23" s="8" t="inlineStr">
        <is>
          <t>구조</t>
        </is>
      </c>
      <c r="C23" s="16" t="inlineStr">
        <is>
          <t>표시 형식 해석기(layerStyle)</t>
        </is>
      </c>
      <c r="D23" s="16" t="inlineStr">
        <is>
          <t>manifest 의 classes(구간)·categories(범주)·tooltip 템플릿·legend 를 해석해 색·라벨·툴팁을 만드는 공용 모듈과 단위 테스트</t>
        </is>
      </c>
      <c r="E23" s="8" t="inlineStr">
        <is>
          <t>김재헌</t>
        </is>
      </c>
      <c r="F23" s="17" t="n">
        <v>46283</v>
      </c>
      <c r="G23" s="17" t="n">
        <v>46287</v>
      </c>
      <c r="H23" s="8">
        <f>MAX(1,NETWORKDAYS(F23,G23,인덱스!$B$41:$B$47))</f>
        <v/>
      </c>
      <c r="I23" s="8" t="inlineStr">
        <is>
          <t>완료</t>
        </is>
      </c>
      <c r="J23" s="16" t="inlineStr">
        <is>
          <t>SFR-007-01, NFR-007-02</t>
        </is>
      </c>
      <c r="K23" s="16" t="inlineStr">
        <is>
          <t>SCR-001</t>
        </is>
      </c>
      <c r="L23" s="16" t="inlineStr">
        <is>
          <t>lib/layerStyle, layerStyle.test</t>
        </is>
      </c>
      <c r="M23" s="16" t="inlineStr"/>
    </row>
    <row r="24">
      <c r="A24" s="8" t="inlineStr">
        <is>
          <t>FE-023</t>
        </is>
      </c>
      <c r="B24" s="8" t="inlineStr">
        <is>
          <t>화면</t>
        </is>
      </c>
      <c r="C24" s="16" t="inlineStr">
        <is>
          <t>분석 실행 기록·기간 설정 동작</t>
        </is>
      </c>
      <c r="D24" s="16" t="inlineStr">
        <is>
          <t>실행 이력(runHistory) 저장과 복원, 기간을 바꿨을 때 결과·알림·내보내기가 함께 바뀌는지 정리</t>
        </is>
      </c>
      <c r="E24" s="8" t="inlineStr">
        <is>
          <t>정하늘</t>
        </is>
      </c>
      <c r="F24" s="17" t="n">
        <v>46283</v>
      </c>
      <c r="G24" s="17" t="n">
        <v>46286</v>
      </c>
      <c r="H24" s="8">
        <f>MAX(1,NETWORKDAYS(F24,G24,인덱스!$B$41:$B$47))</f>
        <v/>
      </c>
      <c r="I24" s="8" t="inlineStr">
        <is>
          <t>완료</t>
        </is>
      </c>
      <c r="J24" s="16" t="inlineStr">
        <is>
          <t>SFR-007-02</t>
        </is>
      </c>
      <c r="K24" s="16" t="inlineStr">
        <is>
          <t>SCR-001</t>
        </is>
      </c>
      <c r="L24" s="16" t="inlineStr">
        <is>
          <t>lib/runHistory</t>
        </is>
      </c>
      <c r="M24" s="16" t="inlineStr"/>
    </row>
    <row r="25">
      <c r="A25" s="8" t="inlineStr">
        <is>
          <t>FE-024</t>
        </is>
      </c>
      <c r="B25" s="8" t="inlineStr">
        <is>
          <t>품질</t>
        </is>
      </c>
      <c r="C25" s="16" t="inlineStr">
        <is>
          <t>단위 테스트 정비(vitest)</t>
        </is>
      </c>
      <c r="D25" s="16" t="inlineStr">
        <is>
          <t>컴포넌트·lib 단위 테스트 177건, 커버리지 93 %, 지도·레이어 컴포넌트는 E2E 로 보완</t>
        </is>
      </c>
      <c r="E25" s="8" t="inlineStr">
        <is>
          <t>정하늘</t>
        </is>
      </c>
      <c r="F25" s="17" t="n">
        <v>46287</v>
      </c>
      <c r="G25" s="17" t="n">
        <v>46294</v>
      </c>
      <c r="H25" s="8">
        <f>MAX(1,NETWORKDAYS(F25,G25,인덱스!$B$41:$B$47))</f>
        <v/>
      </c>
      <c r="I25" s="8" t="inlineStr">
        <is>
          <t>완료</t>
        </is>
      </c>
      <c r="J25" s="16" t="inlineStr">
        <is>
          <t>-</t>
        </is>
      </c>
      <c r="K25" s="16" t="inlineStr">
        <is>
          <t>-</t>
        </is>
      </c>
      <c r="L25" s="16" t="inlineStr">
        <is>
          <t>src/**/*.test.ts(x), vitest.config</t>
        </is>
      </c>
      <c r="M25" s="16" t="inlineStr"/>
    </row>
    <row r="26">
      <c r="A26" s="8" t="inlineStr">
        <is>
          <t>FE-025</t>
        </is>
      </c>
      <c r="B26" s="8" t="inlineStr">
        <is>
          <t>검증</t>
        </is>
      </c>
      <c r="C26" s="16" t="inlineStr">
        <is>
          <t>구조 전환 검증</t>
        </is>
      </c>
      <c r="D26" s="16" t="inlineStr">
        <is>
          <t>전환 전·후 화면 5장면을 픽셀 단위로 비교, 28개 기간 × 1,179 구역 점수가 이전 계산과 같은지 확인</t>
        </is>
      </c>
      <c r="E26" s="8" t="inlineStr">
        <is>
          <t>김재헌</t>
        </is>
      </c>
      <c r="F26" s="17" t="n">
        <v>46288</v>
      </c>
      <c r="G26" s="17" t="n">
        <v>46294</v>
      </c>
      <c r="H26" s="8">
        <f>MAX(1,NETWORKDAYS(F26,G26,인덱스!$B$41:$B$47))</f>
        <v/>
      </c>
      <c r="I26" s="8" t="inlineStr">
        <is>
          <t>완료</t>
        </is>
      </c>
      <c r="J26" s="16" t="inlineStr">
        <is>
          <t>NFR-007-02</t>
        </is>
      </c>
      <c r="K26" s="16" t="inlineStr">
        <is>
          <t>-</t>
        </is>
      </c>
      <c r="L26" s="16" t="inlineStr">
        <is>
          <t>비교 스크립트, 캡처 PNG</t>
        </is>
      </c>
      <c r="M26" s="16" t="inlineStr"/>
    </row>
    <row r="27">
      <c r="A27" s="8" t="inlineStr">
        <is>
          <t>FE-026</t>
        </is>
      </c>
      <c r="B27" s="8" t="inlineStr">
        <is>
          <t>구조</t>
        </is>
      </c>
      <c r="C27" s="16" t="inlineStr">
        <is>
          <t>FE 저장소 분리·strict TypeScript 전환</t>
        </is>
      </c>
      <c r="D27" s="16" t="inlineStr">
        <is>
          <t>프로토타입에서 jeju-ai-saas-fe 로 분리, strict TS, src/types.ts, OpenAPI 에서 타입 생성(openapi-typescript → api/schema.d.ts), API 호출을 BE 중계 API 로 전환</t>
        </is>
      </c>
      <c r="E27" s="8" t="inlineStr">
        <is>
          <t>김재헌</t>
        </is>
      </c>
      <c r="F27" s="17" t="n">
        <v>46295</v>
      </c>
      <c r="G27" s="17" t="n">
        <v>46302</v>
      </c>
      <c r="H27" s="8">
        <f>MAX(1,NETWORKDAYS(F27,G27,인덱스!$B$41:$B$47))</f>
        <v/>
      </c>
      <c r="I27" s="8" t="inlineStr">
        <is>
          <t>완료</t>
        </is>
      </c>
      <c r="J27" s="16" t="inlineStr">
        <is>
          <t>NFR-002-02, NFR-005-01</t>
        </is>
      </c>
      <c r="K27" s="16" t="inlineStr">
        <is>
          <t>-</t>
        </is>
      </c>
      <c r="L27" s="16" t="inlineStr">
        <is>
          <t>innopam/jeju-ai-saas-fe, src/types.ts, src/api/schema.d.ts</t>
        </is>
      </c>
      <c r="M27" s="16" t="inlineStr">
        <is>
          <t>BE 분리(BE 시트)와 같은 주</t>
        </is>
      </c>
    </row>
    <row r="28">
      <c r="A28" s="8" t="inlineStr">
        <is>
          <t>FE-027</t>
        </is>
      </c>
      <c r="B28" s="8" t="inlineStr">
        <is>
          <t>화면</t>
        </is>
      </c>
      <c r="C28" s="16" t="inlineStr">
        <is>
          <t>브라우저 호환·반응형 점검</t>
        </is>
      </c>
      <c r="D28" s="16" t="inlineStr">
        <is>
          <t>Chrome·Edge·Safari 확인, 좁은 폭에서 드로어·패널 배치</t>
        </is>
      </c>
      <c r="E28" s="8" t="inlineStr">
        <is>
          <t>정하늘</t>
        </is>
      </c>
      <c r="F28" s="17" t="n">
        <v>46295</v>
      </c>
      <c r="G28" s="17" t="n">
        <v>46296</v>
      </c>
      <c r="H28" s="8">
        <f>MAX(1,NETWORKDAYS(F28,G28,인덱스!$B$41:$B$47))</f>
        <v/>
      </c>
      <c r="I28" s="8" t="inlineStr">
        <is>
          <t>완료</t>
        </is>
      </c>
      <c r="J28" s="16" t="inlineStr">
        <is>
          <t>NFR-009-01</t>
        </is>
      </c>
      <c r="K28" s="16" t="inlineStr">
        <is>
          <t>SCR-001</t>
        </is>
      </c>
      <c r="L28" s="16" t="inlineStr">
        <is>
          <t>-</t>
        </is>
      </c>
      <c r="M28" s="16" t="inlineStr"/>
    </row>
    <row r="29">
      <c r="A29" s="8" t="inlineStr">
        <is>
          <t>FE-028</t>
        </is>
      </c>
      <c r="B29" s="8" t="inlineStr">
        <is>
          <t>품질</t>
        </is>
      </c>
      <c r="C29" s="16" t="inlineStr">
        <is>
          <t>품질 검사 1단계: 도구 고정·훅·비밀값 차단</t>
        </is>
      </c>
      <c r="D29" s="16" t="inlineStr">
        <is>
          <t>mise(node·lefthook·gitleaks·prettier 버전 고정), lefthook(pre-commit 비밀값·린트, pre-push typecheck·테스트), .gitleaks.toml(브이월드 키 규칙·.env 경로)</t>
        </is>
      </c>
      <c r="E29" s="8" t="inlineStr">
        <is>
          <t>정하늘</t>
        </is>
      </c>
      <c r="F29" s="17" t="n">
        <v>46297</v>
      </c>
      <c r="G29" s="17" t="n">
        <v>46301</v>
      </c>
      <c r="H29" s="8">
        <f>MAX(1,NETWORKDAYS(F29,G29,인덱스!$B$41:$B$47))</f>
        <v/>
      </c>
      <c r="I29" s="8" t="inlineStr">
        <is>
          <t>완료</t>
        </is>
      </c>
      <c r="J29" s="16" t="inlineStr">
        <is>
          <t>NFR-003-01</t>
        </is>
      </c>
      <c r="K29" s="16" t="inlineStr">
        <is>
          <t>-</t>
        </is>
      </c>
      <c r="L29" s="16" t="inlineStr">
        <is>
          <t>mise.toml, lefthook.yml, .gitleaks.toml</t>
        </is>
      </c>
      <c r="M29" s="16" t="inlineStr"/>
    </row>
    <row r="30">
      <c r="A30" s="8" t="inlineStr">
        <is>
          <t>FE-029</t>
        </is>
      </c>
      <c r="B30" s="8" t="inlineStr">
        <is>
          <t>품질</t>
        </is>
      </c>
      <c r="C30" s="16" t="inlineStr">
        <is>
          <t>품질 검사 2단계: 린트·접근성 규칙</t>
        </is>
      </c>
      <c r="D30" s="16" t="inlineStr">
        <is>
          <t>ESLint(typescript-eslint 타입 규칙·react·react-hooks·jsx-a11y strict) 61건과 stylelint 836건을 0으로, markdownlint·actionlint</t>
        </is>
      </c>
      <c r="E30" s="8" t="inlineStr">
        <is>
          <t>정하늘</t>
        </is>
      </c>
      <c r="F30" s="17" t="n">
        <v>46302</v>
      </c>
      <c r="G30" s="17" t="n">
        <v>46307</v>
      </c>
      <c r="H30" s="8">
        <f>MAX(1,NETWORKDAYS(F30,G30,인덱스!$B$41:$B$47))</f>
        <v/>
      </c>
      <c r="I30" s="8" t="inlineStr">
        <is>
          <t>완료</t>
        </is>
      </c>
      <c r="J30" s="16" t="inlineStr">
        <is>
          <t>NFR-009-01</t>
        </is>
      </c>
      <c r="K30" s="16" t="inlineStr">
        <is>
          <t>-</t>
        </is>
      </c>
      <c r="L30" s="16" t="inlineStr">
        <is>
          <t>eslint.config, stylelint.config</t>
        </is>
      </c>
      <c r="M30" s="16" t="inlineStr">
        <is>
          <t>색 대비 위반은 디자인 토큰 색이라 요소 단위 제외(FE #5)</t>
        </is>
      </c>
    </row>
    <row r="31">
      <c r="A31" s="8" t="inlineStr">
        <is>
          <t>FE-030</t>
        </is>
      </c>
      <c r="B31" s="8" t="inlineStr">
        <is>
          <t>배포</t>
        </is>
      </c>
      <c r="C31" s="16" t="inlineStr">
        <is>
          <t>FE 이미지·API 프록시</t>
        </is>
      </c>
      <c r="D31" s="16" t="inlineStr">
        <is>
          <t>nginx 이미지(Dockerfile), nginx.conf.template 로 /api/ 를 API_UPSTREAM 에 프록시, 정적 캐시 헤더</t>
        </is>
      </c>
      <c r="E31" s="8" t="inlineStr">
        <is>
          <t>김재헌</t>
        </is>
      </c>
      <c r="F31" s="17" t="n">
        <v>46303</v>
      </c>
      <c r="G31" s="17" t="n">
        <v>46307</v>
      </c>
      <c r="H31" s="8">
        <f>MAX(1,NETWORKDAYS(F31,G31,인덱스!$B$41:$B$47))</f>
        <v/>
      </c>
      <c r="I31" s="8" t="inlineStr">
        <is>
          <t>완료</t>
        </is>
      </c>
      <c r="J31" s="16" t="inlineStr">
        <is>
          <t>NFR-005-01</t>
        </is>
      </c>
      <c r="K31" s="16" t="inlineStr">
        <is>
          <t>-</t>
        </is>
      </c>
      <c r="L31" s="16" t="inlineStr">
        <is>
          <t>Dockerfile, nginx.conf.template</t>
        </is>
      </c>
      <c r="M31" s="16" t="inlineStr"/>
    </row>
    <row r="32">
      <c r="A32" s="8" t="inlineStr">
        <is>
          <t>FE-031</t>
        </is>
      </c>
      <c r="B32" s="8" t="inlineStr">
        <is>
          <t>구조</t>
        </is>
      </c>
      <c r="C32" s="16" t="inlineStr">
        <is>
          <t>예시 레이어(동 중심점) 추가</t>
        </is>
      </c>
      <c r="D32" s="16" t="inlineStr">
        <is>
          <t>레이어를 설정 파일만으로 추가할 수 있는지 확인하는 예시 레이어와 기본 권한(DEFAULT_PERMS) 등록</t>
        </is>
      </c>
      <c r="E32" s="8" t="inlineStr">
        <is>
          <t>김재헌</t>
        </is>
      </c>
      <c r="F32" s="17" t="n">
        <v>46308</v>
      </c>
      <c r="G32" s="17" t="n">
        <v>46308</v>
      </c>
      <c r="H32" s="8">
        <f>MAX(1,NETWORKDAYS(F32,G32,인덱스!$B$41:$B$47))</f>
        <v/>
      </c>
      <c r="I32" s="8" t="inlineStr">
        <is>
          <t>완료</t>
        </is>
      </c>
      <c r="J32" s="16" t="inlineStr">
        <is>
          <t>NFR-002-02</t>
        </is>
      </c>
      <c r="K32" s="16" t="inlineStr">
        <is>
          <t>SCR-010</t>
        </is>
      </c>
      <c r="L32" s="16" t="inlineStr">
        <is>
          <t>orgs/jeju/layers/dong-centers</t>
        </is>
      </c>
      <c r="M32" s="16" t="inlineStr"/>
    </row>
    <row r="33">
      <c r="A33" s="8" t="inlineStr">
        <is>
          <t>FE-032</t>
        </is>
      </c>
      <c r="B33" s="8" t="inlineStr">
        <is>
          <t>품질</t>
        </is>
      </c>
      <c r="C33" s="16" t="inlineStr">
        <is>
          <t>E2E·접근성·웹표준·시각 회귀</t>
        </is>
      </c>
      <c r="D33" s="16" t="inlineStr">
        <is>
          <t>puppeteer → Playwright 전환(12건 유지), 가짜 API 서버(e2e/fixture-server), axe 접근성 9장면, html-validate 웹표준, 시각 회귀 8장면 기준 PNG</t>
        </is>
      </c>
      <c r="E33" s="8" t="inlineStr">
        <is>
          <t>정하늘</t>
        </is>
      </c>
      <c r="F33" s="17" t="n">
        <v>46308</v>
      </c>
      <c r="G33" s="17" t="n">
        <v>46317</v>
      </c>
      <c r="H33" s="8">
        <f>MAX(1,NETWORKDAYS(F33,G33,인덱스!$B$41:$B$47))</f>
        <v/>
      </c>
      <c r="I33" s="8" t="inlineStr">
        <is>
          <t>진행</t>
        </is>
      </c>
      <c r="J33" s="16" t="inlineStr">
        <is>
          <t>NFR-009-01</t>
        </is>
      </c>
      <c r="K33" s="16" t="inlineStr">
        <is>
          <t>SCR-001–SCR-013</t>
        </is>
      </c>
      <c r="L33" s="16" t="inlineStr">
        <is>
          <t>e2e/*.spec.ts, playwright.config, e2e/__snapshots__</t>
        </is>
      </c>
      <c r="M33" s="16" t="inlineStr">
        <is>
          <t>종료일은 예정일. amd64 러너 기준 PNG 는 CI 게이트 뒤</t>
        </is>
      </c>
    </row>
    <row r="34">
      <c r="A34" s="8" t="inlineStr">
        <is>
          <t>FE-033</t>
        </is>
      </c>
      <c r="B34" s="8" t="inlineStr">
        <is>
          <t>정리</t>
        </is>
      </c>
      <c r="C34" s="16" t="inlineStr">
        <is>
          <t>컴포넌트 분리·훅 정리</t>
        </is>
      </c>
      <c r="D34" s="16" t="inlineStr">
        <is>
          <t>MapPane 에 몰린 로직을 레이어 컴포넌트와 훅으로 분리, 리렌더 줄이기</t>
        </is>
      </c>
      <c r="E34" s="8" t="inlineStr">
        <is>
          <t>김재헌</t>
        </is>
      </c>
      <c r="F34" s="17" t="n">
        <v>46309</v>
      </c>
      <c r="G34" s="17" t="n">
        <v>46310</v>
      </c>
      <c r="H34" s="8">
        <f>MAX(1,NETWORKDAYS(F34,G34,인덱스!$B$41:$B$47))</f>
        <v/>
      </c>
      <c r="I34" s="8" t="inlineStr">
        <is>
          <t>완료</t>
        </is>
      </c>
      <c r="J34" s="16" t="inlineStr">
        <is>
          <t>NFR-009-01</t>
        </is>
      </c>
      <c r="K34" s="16" t="inlineStr">
        <is>
          <t>-</t>
        </is>
      </c>
      <c r="L34" s="16" t="inlineStr">
        <is>
          <t>components/layers/*, lib/*</t>
        </is>
      </c>
      <c r="M34" s="16" t="inlineStr"/>
    </row>
    <row r="35">
      <c r="A35" s="8" t="inlineStr">
        <is>
          <t>FE-034</t>
        </is>
      </c>
      <c r="B35" s="8" t="inlineStr">
        <is>
          <t>패널</t>
        </is>
      </c>
      <c r="C35" s="16" t="inlineStr">
        <is>
          <t>레이어 순서·표시 편집 UI 설계</t>
        </is>
      </c>
      <c r="D35" s="16" t="inlineStr">
        <is>
          <t>워크스페이스 설정의 순서·가시성·스타일을 화면에서 바꾸는 흐름 설계, 저장 API 요건을 BE 와 합의</t>
        </is>
      </c>
      <c r="E35" s="8" t="inlineStr">
        <is>
          <t>김재헌</t>
        </is>
      </c>
      <c r="F35" s="17" t="n">
        <v>46311</v>
      </c>
      <c r="G35" s="17" t="n">
        <v>46316</v>
      </c>
      <c r="H35" s="8">
        <f>MAX(1,NETWORKDAYS(F35,G35,인덱스!$B$41:$B$47))</f>
        <v/>
      </c>
      <c r="I35" s="8" t="inlineStr">
        <is>
          <t>진행</t>
        </is>
      </c>
      <c r="J35" s="16" t="inlineStr">
        <is>
          <t>SFR-007-01, SFR-007-03</t>
        </is>
      </c>
      <c r="K35" s="16" t="inlineStr">
        <is>
          <t>SCR-001, SCR-010</t>
        </is>
      </c>
      <c r="L35" s="16" t="inlineStr">
        <is>
          <t>설계 메모</t>
        </is>
      </c>
      <c r="M35" s="16" t="inlineStr">
        <is>
          <t>종료일은 예정일</t>
        </is>
      </c>
    </row>
    <row r="36">
      <c r="A36" s="8" t="inlineStr">
        <is>
          <t>FE-035</t>
        </is>
      </c>
      <c r="B36" s="8" t="inlineStr">
        <is>
          <t>패널</t>
        </is>
      </c>
      <c r="C36" s="16" t="inlineStr">
        <is>
          <t>레이어 순서·표시 편집 UI 구현</t>
        </is>
      </c>
      <c r="D36" s="16" t="inlineStr">
        <is>
          <t>드래그로 순서 바꾸기, 가시성·스타일 편집, 변경 내용을 워크스페이스 설정으로 저장(BE API)</t>
        </is>
      </c>
      <c r="E36" s="8" t="inlineStr">
        <is>
          <t>김재헌</t>
        </is>
      </c>
      <c r="F36" s="17" t="n">
        <v>46317</v>
      </c>
      <c r="G36" s="17" t="n">
        <v>46323</v>
      </c>
      <c r="H36" s="8">
        <f>MAX(1,NETWORKDAYS(F36,G36,인덱스!$B$41:$B$47))</f>
        <v/>
      </c>
      <c r="I36" s="8" t="inlineStr">
        <is>
          <t>예정</t>
        </is>
      </c>
      <c r="J36" s="16" t="inlineStr">
        <is>
          <t>SFR-007-01, SFR-007-03</t>
        </is>
      </c>
      <c r="K36" s="16" t="inlineStr">
        <is>
          <t>SCR-001, SCR-010</t>
        </is>
      </c>
      <c r="L36" s="16" t="inlineStr">
        <is>
          <t>-</t>
        </is>
      </c>
      <c r="M36" s="16" t="inlineStr">
        <is>
          <t>BE 의 워크스페이스 저장 API 필요</t>
        </is>
      </c>
    </row>
    <row r="37">
      <c r="A37" s="8" t="inlineStr">
        <is>
          <t>FE-036</t>
        </is>
      </c>
      <c r="B37" s="8" t="inlineStr">
        <is>
          <t>품질</t>
        </is>
      </c>
      <c r="C37" s="16" t="inlineStr">
        <is>
          <t>FE CI 게이트·야간 검사</t>
        </is>
      </c>
      <c r="D37" s="16" t="inlineStr">
        <is>
          <t>ci.yml: push 마다 비밀값·린트·typecheck·테스트·E2E → develop 만 이미지 push, nightly.yml: Lighthouse·k6·ZAP·trivy 결과 보고</t>
        </is>
      </c>
      <c r="E37" s="8" t="inlineStr">
        <is>
          <t>정하늘</t>
        </is>
      </c>
      <c r="F37" s="17" t="n">
        <v>46318</v>
      </c>
      <c r="G37" s="17" t="n">
        <v>46323</v>
      </c>
      <c r="H37" s="8">
        <f>MAX(1,NETWORKDAYS(F37,G37,인덱스!$B$41:$B$47))</f>
        <v/>
      </c>
      <c r="I37" s="8" t="inlineStr">
        <is>
          <t>예정</t>
        </is>
      </c>
      <c r="J37" s="16" t="inlineStr">
        <is>
          <t>NFR-001-01, NFR-003-01</t>
        </is>
      </c>
      <c r="K37" s="16" t="inlineStr">
        <is>
          <t>-</t>
        </is>
      </c>
      <c r="L37" s="16" t="inlineStr">
        <is>
          <t>GitHub 이슈 FE #1, #2</t>
        </is>
      </c>
      <c r="M37" s="16" t="inlineStr"/>
    </row>
    <row r="38">
      <c r="A38" s="8" t="inlineStr">
        <is>
          <t>FE-037</t>
        </is>
      </c>
      <c r="B38" s="8" t="inlineStr">
        <is>
          <t>구조</t>
        </is>
      </c>
      <c r="C38" s="16" t="inlineStr">
        <is>
          <t>메타데이터 DB 전환에 맞춘 FE 변경</t>
        </is>
      </c>
      <c r="D38" s="16" t="inlineStr">
        <is>
          <t>조직·워크스페이스·레이어 목록을 파일 catalog 대신 DB API 로 읽기, 관리 화면에서 생성·수정·삭제</t>
        </is>
      </c>
      <c r="E38" s="8" t="inlineStr">
        <is>
          <t>김재헌</t>
        </is>
      </c>
      <c r="F38" s="17" t="n">
        <v>46324</v>
      </c>
      <c r="G38" s="17" t="n">
        <v>46330</v>
      </c>
      <c r="H38" s="8">
        <f>MAX(1,NETWORKDAYS(F38,G38,인덱스!$B$41:$B$47))</f>
        <v/>
      </c>
      <c r="I38" s="8" t="inlineStr">
        <is>
          <t>예정</t>
        </is>
      </c>
      <c r="J38" s="16" t="inlineStr">
        <is>
          <t>SFR-008-01, SFR-008-02</t>
        </is>
      </c>
      <c r="K38" s="16" t="inlineStr">
        <is>
          <t>SCR-010</t>
        </is>
      </c>
      <c r="L38" s="16" t="inlineStr">
        <is>
          <t>-</t>
        </is>
      </c>
      <c r="M38" s="16" t="inlineStr">
        <is>
          <t>BE DB 전환과 함께</t>
        </is>
      </c>
    </row>
    <row r="39">
      <c r="A39" s="8" t="inlineStr">
        <is>
          <t>FE-038</t>
        </is>
      </c>
      <c r="B39" s="8" t="inlineStr">
        <is>
          <t>보안</t>
        </is>
      </c>
      <c r="C39" s="16" t="inlineStr">
        <is>
          <t>nginx 보안 응답 헤더</t>
        </is>
      </c>
      <c r="D39" s="16" t="inlineStr">
        <is>
          <t>CSP·HSTS·X-Content-Type-Options 등을 FE 응답에 추가, E2E 로 확인</t>
        </is>
      </c>
      <c r="E39" s="8" t="inlineStr">
        <is>
          <t>정하늘</t>
        </is>
      </c>
      <c r="F39" s="17" t="n">
        <v>46324</v>
      </c>
      <c r="G39" s="17" t="n">
        <v>46325</v>
      </c>
      <c r="H39" s="8">
        <f>MAX(1,NETWORKDAYS(F39,G39,인덱스!$B$41:$B$47))</f>
        <v/>
      </c>
      <c r="I39" s="8" t="inlineStr">
        <is>
          <t>예정</t>
        </is>
      </c>
      <c r="J39" s="16" t="inlineStr">
        <is>
          <t>NFR-003-01</t>
        </is>
      </c>
      <c r="K39" s="16" t="inlineStr">
        <is>
          <t>-</t>
        </is>
      </c>
      <c r="L39" s="16" t="inlineStr">
        <is>
          <t>GitHub 이슈 FE #3</t>
        </is>
      </c>
      <c r="M39" s="16" t="inlineStr"/>
    </row>
    <row r="40">
      <c r="A40" s="8" t="inlineStr">
        <is>
          <t>FE-039</t>
        </is>
      </c>
      <c r="B40" s="8" t="inlineStr">
        <is>
          <t>품질</t>
        </is>
      </c>
      <c r="C40" s="16" t="inlineStr">
        <is>
          <t>색 대비 토큰 결정 반영·리팩터</t>
        </is>
      </c>
      <c r="D40" s="16" t="inlineStr">
        <is>
          <t>WCAG AA 4.5:1 미달 색 결정 반영(FE #5), set-state-in-effect 예외 4곳 리팩터(FE #6), ESLint 10(FE #7)</t>
        </is>
      </c>
      <c r="E40" s="8" t="inlineStr">
        <is>
          <t>정하늘</t>
        </is>
      </c>
      <c r="F40" s="17" t="n">
        <v>46328</v>
      </c>
      <c r="G40" s="17" t="n">
        <v>46330</v>
      </c>
      <c r="H40" s="8">
        <f>MAX(1,NETWORKDAYS(F40,G40,인덱스!$B$41:$B$47))</f>
        <v/>
      </c>
      <c r="I40" s="8" t="inlineStr">
        <is>
          <t>예정</t>
        </is>
      </c>
      <c r="J40" s="16" t="inlineStr">
        <is>
          <t>NFR-009-01</t>
        </is>
      </c>
      <c r="K40" s="16" t="inlineStr">
        <is>
          <t>-</t>
        </is>
      </c>
      <c r="L40" s="16" t="inlineStr">
        <is>
          <t>GitHub 이슈 FE #5, #6, #7</t>
        </is>
      </c>
      <c r="M40" s="16" t="inlineStr"/>
    </row>
    <row r="41">
      <c r="A41" s="8" t="inlineStr">
        <is>
          <t>FE-040</t>
        </is>
      </c>
      <c r="B41" s="8" t="inlineStr">
        <is>
          <t>지도</t>
        </is>
      </c>
      <c r="C41" s="16" t="inlineStr">
        <is>
          <t>벡터 타일(MBTiles/PMTiles) 렌더링 전환 평가</t>
        </is>
      </c>
      <c r="D41" s="16" t="inlineStr">
        <is>
          <t>JSON 타일 대신 벡터 타일을 그리는 방식 비교: Leaflet.VectorGrid(현 Leaflet 유지) vs MapLibre GL 전환, 10 m 격자 성능·스타일 표현력·배경지도 호환 측정</t>
        </is>
      </c>
      <c r="E41" s="8" t="inlineStr">
        <is>
          <t>김재헌</t>
        </is>
      </c>
      <c r="F41" s="17" t="n">
        <v>46331</v>
      </c>
      <c r="G41" s="17" t="n">
        <v>46335</v>
      </c>
      <c r="H41" s="8">
        <f>MAX(1,NETWORKDAYS(F41,G41,인덱스!$B$41:$B$47))</f>
        <v/>
      </c>
      <c r="I41" s="8" t="inlineStr">
        <is>
          <t>예정</t>
        </is>
      </c>
      <c r="J41" s="16" t="inlineStr">
        <is>
          <t>NFR-001-01</t>
        </is>
      </c>
      <c r="K41" s="16" t="inlineStr">
        <is>
          <t>SCR-004</t>
        </is>
      </c>
      <c r="L41" s="16" t="inlineStr">
        <is>
          <t>평가 메모</t>
        </is>
      </c>
      <c r="M41" s="16" t="inlineStr">
        <is>
          <t>BE 타일 전환 조사와 같이</t>
        </is>
      </c>
    </row>
    <row r="42">
      <c r="A42" s="8" t="inlineStr">
        <is>
          <t>FE-041</t>
        </is>
      </c>
      <c r="B42" s="8" t="inlineStr">
        <is>
          <t>인증</t>
        </is>
      </c>
      <c r="C42" s="16" t="inlineStr">
        <is>
          <t>로그인 화면·세션 처리</t>
        </is>
      </c>
      <c r="D42" s="16" t="inlineStr">
        <is>
          <t>로그인·로그아웃 화면, 세션 만료 처리, 역할(시스템 관리자·서비스 관리자·일반 사용자)에 따른 메뉴·버튼 노출</t>
        </is>
      </c>
      <c r="E42" s="8" t="inlineStr">
        <is>
          <t>정하늘</t>
        </is>
      </c>
      <c r="F42" s="17" t="n">
        <v>46331</v>
      </c>
      <c r="G42" s="17" t="n">
        <v>46337</v>
      </c>
      <c r="H42" s="8">
        <f>MAX(1,NETWORKDAYS(F42,G42,인덱스!$B$41:$B$47))</f>
        <v/>
      </c>
      <c r="I42" s="8" t="inlineStr">
        <is>
          <t>예정</t>
        </is>
      </c>
      <c r="J42" s="16" t="inlineStr">
        <is>
          <t>SFR-008-02, NFR-003-01</t>
        </is>
      </c>
      <c r="K42" s="16" t="inlineStr">
        <is>
          <t>SCR-010, SCR-011</t>
        </is>
      </c>
      <c r="L42" s="16" t="inlineStr">
        <is>
          <t>-</t>
        </is>
      </c>
      <c r="M42" s="16" t="inlineStr">
        <is>
          <t>BE 인증 API 와 함께</t>
        </is>
      </c>
    </row>
    <row r="43">
      <c r="A43" s="8" t="inlineStr">
        <is>
          <t>FE-042</t>
        </is>
      </c>
      <c r="B43" s="8" t="inlineStr">
        <is>
          <t>지도</t>
        </is>
      </c>
      <c r="C43" s="16" t="inlineStr">
        <is>
          <t>벡터 타일 렌더링 적용</t>
        </is>
      </c>
      <c r="D43" s="16" t="inlineStr">
        <is>
          <t>평가 결과대로 격자·변위 레이어를 벡터 타일로 그리기, manifest 의 source 종류에 tiles(mbtiles/pmtiles) 추가, 기존 JSON 타일과 병행 기간</t>
        </is>
      </c>
      <c r="E43" s="8" t="inlineStr">
        <is>
          <t>김재헌</t>
        </is>
      </c>
      <c r="F43" s="17" t="n">
        <v>46336</v>
      </c>
      <c r="G43" s="17" t="n">
        <v>46343</v>
      </c>
      <c r="H43" s="8">
        <f>MAX(1,NETWORKDAYS(F43,G43,인덱스!$B$41:$B$47))</f>
        <v/>
      </c>
      <c r="I43" s="8" t="inlineStr">
        <is>
          <t>예정</t>
        </is>
      </c>
      <c r="J43" s="16" t="inlineStr">
        <is>
          <t>SFR-002-01, NFR-001-01</t>
        </is>
      </c>
      <c r="K43" s="16" t="inlineStr">
        <is>
          <t>SCR-004</t>
        </is>
      </c>
      <c r="L43" s="16" t="inlineStr">
        <is>
          <t>-</t>
        </is>
      </c>
      <c r="M43" s="16" t="inlineStr"/>
    </row>
    <row r="44">
      <c r="A44" s="8" t="inlineStr">
        <is>
          <t>FE-043</t>
        </is>
      </c>
      <c r="B44" s="8" t="inlineStr">
        <is>
          <t>관리자</t>
        </is>
      </c>
      <c r="C44" s="16" t="inlineStr">
        <is>
          <t>권한 화면을 DB API 로 전환</t>
        </is>
      </c>
      <c r="D44" s="16" t="inlineStr">
        <is>
          <t>브라우저 저장(localStorage) 권한을 서버 DB 기반으로, 조직·역할·레이어·내보내기 권한 편집 화면</t>
        </is>
      </c>
      <c r="E44" s="8" t="inlineStr">
        <is>
          <t>정하늘</t>
        </is>
      </c>
      <c r="F44" s="17" t="n">
        <v>46338</v>
      </c>
      <c r="G44" s="17" t="n">
        <v>46343</v>
      </c>
      <c r="H44" s="8">
        <f>MAX(1,NETWORKDAYS(F44,G44,인덱스!$B$41:$B$47))</f>
        <v/>
      </c>
      <c r="I44" s="8" t="inlineStr">
        <is>
          <t>예정</t>
        </is>
      </c>
      <c r="J44" s="16" t="inlineStr">
        <is>
          <t>SFR-008-02</t>
        </is>
      </c>
      <c r="K44" s="16" t="inlineStr">
        <is>
          <t>SCR-010, SCR-011</t>
        </is>
      </c>
      <c r="L44" s="16" t="inlineStr">
        <is>
          <t>-</t>
        </is>
      </c>
      <c r="M44" s="16" t="inlineStr"/>
    </row>
    <row r="45">
      <c r="A45" s="8" t="inlineStr">
        <is>
          <t>FE-044</t>
        </is>
      </c>
      <c r="B45" s="8" t="inlineStr">
        <is>
          <t>조회</t>
        </is>
      </c>
      <c r="C45" s="16" t="inlineStr">
        <is>
          <t>시공간 타임슬라이더</t>
        </is>
      </c>
      <c r="D45" s="16" t="inlineStr">
        <is>
          <t>시계열 InSAR 가 들어오면 변위 이력을 시간축으로 재생, 기간별 점수 전환과 통합</t>
        </is>
      </c>
      <c r="E45" s="8" t="inlineStr">
        <is>
          <t>김재헌</t>
        </is>
      </c>
      <c r="F45" s="17" t="n">
        <v>46344</v>
      </c>
      <c r="G45" s="17" t="n">
        <v>46350</v>
      </c>
      <c r="H45" s="8">
        <f>MAX(1,NETWORKDAYS(F45,G45,인덱스!$B$41:$B$47))</f>
        <v/>
      </c>
      <c r="I45" s="8" t="inlineStr">
        <is>
          <t>예정</t>
        </is>
      </c>
      <c r="J45" s="16" t="inlineStr">
        <is>
          <t>SFR-007-02</t>
        </is>
      </c>
      <c r="K45" s="16" t="inlineStr">
        <is>
          <t>SCR-001, SCR-004</t>
        </is>
      </c>
      <c r="L45" s="16" t="inlineStr">
        <is>
          <t>-</t>
        </is>
      </c>
      <c r="M45" s="16" t="inlineStr">
        <is>
          <t>시계열 자료 입수 뒤</t>
        </is>
      </c>
    </row>
    <row r="46">
      <c r="A46" s="8" t="inlineStr">
        <is>
          <t>FE-045</t>
        </is>
      </c>
      <c r="B46" s="8" t="inlineStr">
        <is>
          <t>관리자</t>
        </is>
      </c>
      <c r="C46" s="16" t="inlineStr">
        <is>
          <t>작업 기록 서버 저장 전환</t>
        </is>
      </c>
      <c r="D46" s="16" t="inlineStr">
        <is>
          <t>내보내기·사고 변경·권한 변경 기록을 서버에 남기고 조회·필터·엑셀 내려받기</t>
        </is>
      </c>
      <c r="E46" s="8" t="inlineStr">
        <is>
          <t>정하늘</t>
        </is>
      </c>
      <c r="F46" s="17" t="n">
        <v>46344</v>
      </c>
      <c r="G46" s="17" t="n">
        <v>46346</v>
      </c>
      <c r="H46" s="8">
        <f>MAX(1,NETWORKDAYS(F46,G46,인덱스!$B$41:$B$47))</f>
        <v/>
      </c>
      <c r="I46" s="8" t="inlineStr">
        <is>
          <t>예정</t>
        </is>
      </c>
      <c r="J46" s="16" t="inlineStr">
        <is>
          <t>NFR-003-05, SFR-008-03</t>
        </is>
      </c>
      <c r="K46" s="16" t="inlineStr">
        <is>
          <t>SCR-013</t>
        </is>
      </c>
      <c r="L46" s="16" t="inlineStr">
        <is>
          <t>-</t>
        </is>
      </c>
      <c r="M46" s="16" t="inlineStr">
        <is>
          <t>감사 증적 요건</t>
        </is>
      </c>
    </row>
    <row r="47">
      <c r="A47" s="8" t="inlineStr">
        <is>
          <t>FE-046</t>
        </is>
      </c>
      <c r="B47" s="8" t="inlineStr">
        <is>
          <t>조회</t>
        </is>
      </c>
      <c r="C47" s="16" t="inlineStr">
        <is>
          <t>복합 조건 필터(인자값 조합 검색)</t>
        </is>
      </c>
      <c r="D47" s="16" t="inlineStr">
        <is>
          <t>변위량·관로 연한·시설물 이격거리 등 인자값 조합으로 고위험 구역 검색</t>
        </is>
      </c>
      <c r="E47" s="8" t="inlineStr">
        <is>
          <t>김재헌</t>
        </is>
      </c>
      <c r="F47" s="17" t="n">
        <v>46351</v>
      </c>
      <c r="G47" s="17" t="n">
        <v>46356</v>
      </c>
      <c r="H47" s="8">
        <f>MAX(1,NETWORKDAYS(F47,G47,인덱스!$B$41:$B$47))</f>
        <v/>
      </c>
      <c r="I47" s="8" t="inlineStr">
        <is>
          <t>예정</t>
        </is>
      </c>
      <c r="J47" s="16" t="inlineStr">
        <is>
          <t>SFR-007-03</t>
        </is>
      </c>
      <c r="K47" s="16" t="inlineStr">
        <is>
          <t>SCR-001</t>
        </is>
      </c>
      <c r="L47" s="16" t="inlineStr">
        <is>
          <t>-</t>
        </is>
      </c>
      <c r="M47" s="16" t="inlineStr"/>
    </row>
  </sheetData>
  <autoFilter ref="A1:M47"/>
  <conditionalFormatting sqref="I2:I47">
    <cfRule type="cellIs" priority="1" operator="equal" dxfId="0">
      <formula>"완료"</formula>
    </cfRule>
    <cfRule type="cellIs" priority="2" operator="equal" dxfId="1">
      <formula>"진행"</formula>
    </cfRule>
    <cfRule type="cellIs" priority="3" operator="equal" dxfId="2">
      <formula>"예정"</formula>
    </cfRule>
  </conditionalFormatting>
  <dataValidations count="1">
    <dataValidation sqref="I2:I500" showDropDown="0" showInputMessage="0" showErrorMessage="0" allowBlank="0" type="list">
      <formula1>"완료,진행,예정"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60" customWidth="1" min="4" max="4"/>
    <col width="9" customWidth="1" min="5" max="5"/>
    <col width="11" customWidth="1" min="6" max="6"/>
    <col width="11" customWidth="1" min="7" max="7"/>
    <col width="8" customWidth="1" min="8" max="8"/>
    <col width="7" customWidth="1" min="9" max="9"/>
    <col width="20" customWidth="1" min="10" max="10"/>
    <col width="16" customWidth="1" min="11" max="11"/>
    <col width="34" customWidth="1" min="12" max="12"/>
    <col width="30" customWidth="1" min="13" max="13"/>
  </cols>
  <sheetData>
    <row r="1" ht="24" customHeight="1">
      <c r="A1" s="6" t="inlineStr">
        <is>
          <t>ID</t>
        </is>
      </c>
      <c r="B1" s="6" t="inlineStr">
        <is>
          <t>영역</t>
        </is>
      </c>
      <c r="C1" s="6" t="inlineStr">
        <is>
          <t>작업명</t>
        </is>
      </c>
      <c r="D1" s="6" t="inlineStr">
        <is>
          <t>작업 내용</t>
        </is>
      </c>
      <c r="E1" s="6" t="inlineStr">
        <is>
          <t>담당자</t>
        </is>
      </c>
      <c r="F1" s="6" t="inlineStr">
        <is>
          <t>시작일</t>
        </is>
      </c>
      <c r="G1" s="6" t="inlineStr">
        <is>
          <t>종료일</t>
        </is>
      </c>
      <c r="H1" s="6" t="inlineStr">
        <is>
          <t>공수(일)</t>
        </is>
      </c>
      <c r="I1" s="6" t="inlineStr">
        <is>
          <t>상태</t>
        </is>
      </c>
      <c r="J1" s="6" t="inlineStr">
        <is>
          <t>관련 요구사항ID</t>
        </is>
      </c>
      <c r="K1" s="6" t="inlineStr">
        <is>
          <t>관련 화면ID</t>
        </is>
      </c>
      <c r="L1" s="6" t="inlineStr">
        <is>
          <t>산출물</t>
        </is>
      </c>
      <c r="M1" s="6" t="inlineStr">
        <is>
          <t>비고</t>
        </is>
      </c>
    </row>
    <row r="2">
      <c r="A2" s="8" t="inlineStr">
        <is>
          <t>BE-001</t>
        </is>
      </c>
      <c r="B2" s="8" t="inlineStr">
        <is>
          <t>자료</t>
        </is>
      </c>
      <c r="C2" s="16" t="inlineStr">
        <is>
          <t>원본 자료 조사·좌표계 정리</t>
        </is>
      </c>
      <c r="D2" s="16" t="inlineStr">
        <is>
          <t>InSAR 10 m 산출물, 상하수도 관로, 도로점용(굴착) 허가대장, 지반침하 사고이력, 지질도, 재해위험지구를 수집하고 EPSG:5186 으로 통일, 자료별 단위·관측기간 표</t>
        </is>
      </c>
      <c r="E2" s="8" t="inlineStr">
        <is>
          <t>김규영</t>
        </is>
      </c>
      <c r="F2" s="17" t="n">
        <v>46237</v>
      </c>
      <c r="G2" s="17" t="n">
        <v>46239</v>
      </c>
      <c r="H2" s="8">
        <f>MAX(1,NETWORKDAYS(F2,G2,인덱스!$B$41:$B$47))</f>
        <v/>
      </c>
      <c r="I2" s="8" t="inlineStr">
        <is>
          <t>완료</t>
        </is>
      </c>
      <c r="J2" s="16" t="inlineStr">
        <is>
          <t>SFR-001-02, SFR-001-03</t>
        </is>
      </c>
      <c r="K2" s="16" t="inlineStr">
        <is>
          <t>-</t>
        </is>
      </c>
      <c r="L2" s="16" t="inlineStr">
        <is>
          <t>docs/data-sources</t>
        </is>
      </c>
      <c r="M2" s="16" t="inlineStr"/>
    </row>
    <row r="3">
      <c r="A3" s="8" t="inlineStr">
        <is>
          <t>BE-002</t>
        </is>
      </c>
      <c r="B3" s="8" t="inlineStr">
        <is>
          <t>자료</t>
        </is>
      </c>
      <c r="C3" s="16" t="inlineStr">
        <is>
          <t>원본 자료 품질 점검·결측 처리</t>
        </is>
      </c>
      <c r="D3" s="16" t="inlineStr">
        <is>
          <t>중복·결측·좌표 이상값 점검, 사고이력 주소 정리, 기준 범위(제주 전역) 밖 자료 제외</t>
        </is>
      </c>
      <c r="E3" s="8" t="inlineStr">
        <is>
          <t>김규영</t>
        </is>
      </c>
      <c r="F3" s="17" t="n">
        <v>46240</v>
      </c>
      <c r="G3" s="17" t="n">
        <v>46241</v>
      </c>
      <c r="H3" s="8">
        <f>MAX(1,NETWORKDAYS(F3,G3,인덱스!$B$41:$B$47))</f>
        <v/>
      </c>
      <c r="I3" s="8" t="inlineStr">
        <is>
          <t>완료</t>
        </is>
      </c>
      <c r="J3" s="16" t="inlineStr">
        <is>
          <t>SFR-001-03, NFR-007-01</t>
        </is>
      </c>
      <c r="K3" s="16" t="inlineStr">
        <is>
          <t>-</t>
        </is>
      </c>
      <c r="L3" s="16" t="inlineStr">
        <is>
          <t>pipeline/gislib</t>
        </is>
      </c>
      <c r="M3" s="16" t="inlineStr"/>
    </row>
    <row r="4">
      <c r="A4" s="8" t="inlineStr">
        <is>
          <t>BE-003</t>
        </is>
      </c>
      <c r="B4" s="8" t="inlineStr">
        <is>
          <t>격자</t>
        </is>
      </c>
      <c r="C4" s="16" t="inlineStr">
        <is>
          <t>10 m 표준 격자·100 m 집계 셀 생성</t>
        </is>
      </c>
      <c r="D4" s="16" t="inlineStr">
        <is>
          <t>제주 전역 10 m 셀과 셀 ID 체계, 100 m 집계 셀, 2 km 블록 타일 분할(insar10m/{x}_{y}.json)과 100 m 집계 파일(insar_cells.json)</t>
        </is>
      </c>
      <c r="E4" s="8" t="inlineStr">
        <is>
          <t>조혜인</t>
        </is>
      </c>
      <c r="F4" s="17" t="n">
        <v>46244</v>
      </c>
      <c r="G4" s="17" t="n">
        <v>46247</v>
      </c>
      <c r="H4" s="8">
        <f>MAX(1,NETWORKDAYS(F4,G4,인덱스!$B$41:$B$47))</f>
        <v/>
      </c>
      <c r="I4" s="8" t="inlineStr">
        <is>
          <t>완료</t>
        </is>
      </c>
      <c r="J4" s="16" t="inlineStr">
        <is>
          <t>SFR-001-01, NFR-007-03</t>
        </is>
      </c>
      <c r="K4" s="16" t="inlineStr">
        <is>
          <t>SCR-004</t>
        </is>
      </c>
      <c r="L4" s="16" t="inlineStr">
        <is>
          <t>pipeline/build_data.py</t>
        </is>
      </c>
      <c r="M4" s="16" t="inlineStr"/>
    </row>
    <row r="5">
      <c r="A5" s="8" t="inlineStr">
        <is>
          <t>BE-004</t>
        </is>
      </c>
      <c r="B5" s="8" t="inlineStr">
        <is>
          <t>자료</t>
        </is>
      </c>
      <c r="C5" s="16" t="inlineStr">
        <is>
          <t>인벤토리 격자 바인딩</t>
        </is>
      </c>
      <c r="D5" s="16" t="inlineStr">
        <is>
          <t>관로·사고·지질·재해위험지구를 100 m 격자에 결합(gislib), 셀 ID 를 조인 키로 하는 속성 스택</t>
        </is>
      </c>
      <c r="E5" s="8" t="inlineStr">
        <is>
          <t>김규영</t>
        </is>
      </c>
      <c r="F5" s="17" t="n">
        <v>46248</v>
      </c>
      <c r="G5" s="17" t="n">
        <v>46254</v>
      </c>
      <c r="H5" s="8">
        <f>MAX(1,NETWORKDAYS(F5,G5,인덱스!$B$41:$B$47))</f>
        <v/>
      </c>
      <c r="I5" s="8" t="inlineStr">
        <is>
          <t>완료</t>
        </is>
      </c>
      <c r="J5" s="16" t="inlineStr">
        <is>
          <t>SFR-004-01, SFR-004-02</t>
        </is>
      </c>
      <c r="K5" s="16" t="inlineStr">
        <is>
          <t>SCR-005</t>
        </is>
      </c>
      <c r="L5" s="16" t="inlineStr">
        <is>
          <t>pipeline/gislib.py</t>
        </is>
      </c>
      <c r="M5" s="16" t="inlineStr"/>
    </row>
    <row r="6">
      <c r="A6" s="8" t="inlineStr">
        <is>
          <t>BE-005</t>
        </is>
      </c>
      <c r="B6" s="8" t="inlineStr">
        <is>
          <t>자료</t>
        </is>
      </c>
      <c r="C6" s="16" t="inlineStr">
        <is>
          <t>굴착 허가 지오코딩</t>
        </is>
      </c>
      <c r="D6" s="16" t="inlineStr">
        <is>
          <t>허가대장에 좌표가 없어 문서 제목·점용지에서 법정동명을 뽑아 동 단위 집계(1,099건 / 19개 동, 2023–2025)</t>
        </is>
      </c>
      <c r="E6" s="8" t="inlineStr">
        <is>
          <t>전재환</t>
        </is>
      </c>
      <c r="F6" s="17" t="n">
        <v>46255</v>
      </c>
      <c r="G6" s="17" t="n">
        <v>46259</v>
      </c>
      <c r="H6" s="8">
        <f>MAX(1,NETWORKDAYS(F6,G6,인덱스!$B$41:$B$47))</f>
        <v/>
      </c>
      <c r="I6" s="8" t="inlineStr">
        <is>
          <t>완료</t>
        </is>
      </c>
      <c r="J6" s="16" t="inlineStr">
        <is>
          <t>SFR-001-02</t>
        </is>
      </c>
      <c r="K6" s="16" t="inlineStr">
        <is>
          <t>SCR-005</t>
        </is>
      </c>
      <c r="L6" s="16" t="inlineStr">
        <is>
          <t>pipeline/geocode_excavation.py</t>
        </is>
      </c>
      <c r="M6" s="16" t="inlineStr">
        <is>
          <t>좌표가 있는 대장 입수 시 셀 단위로 전환</t>
        </is>
      </c>
    </row>
    <row r="7">
      <c r="A7" s="8" t="inlineStr">
        <is>
          <t>BE-006</t>
        </is>
      </c>
      <c r="B7" s="8" t="inlineStr">
        <is>
          <t>자료</t>
        </is>
      </c>
      <c r="C7" s="16" t="inlineStr">
        <is>
          <t>행정경계 최근접 배정·지역 목록</t>
        </is>
      </c>
      <c r="D7" s="16" t="inlineStr">
        <is>
          <t>읍면동 경계 자료가 없어 자연재해저감 종합계획의 지명 403개를 기준점으로 셀을 최근접 배정, regions.json</t>
        </is>
      </c>
      <c r="E7" s="8" t="inlineStr">
        <is>
          <t>전재환</t>
        </is>
      </c>
      <c r="F7" s="17" t="n">
        <v>46260</v>
      </c>
      <c r="G7" s="17" t="n">
        <v>46261</v>
      </c>
      <c r="H7" s="8">
        <f>MAX(1,NETWORKDAYS(F7,G7,인덱스!$B$41:$B$47))</f>
        <v/>
      </c>
      <c r="I7" s="8" t="inlineStr">
        <is>
          <t>완료</t>
        </is>
      </c>
      <c r="J7" s="16" t="inlineStr">
        <is>
          <t>SFR-001-03</t>
        </is>
      </c>
      <c r="K7" s="16" t="inlineStr">
        <is>
          <t>SCR-001</t>
        </is>
      </c>
      <c r="L7" s="16" t="inlineStr">
        <is>
          <t>csi-factors/regions.json</t>
        </is>
      </c>
      <c r="M7" s="16" t="inlineStr">
        <is>
          <t>경계 부근 셀은 실제 행정구역과 다를 수 있음</t>
        </is>
      </c>
    </row>
    <row r="8">
      <c r="A8" s="8" t="inlineStr">
        <is>
          <t>BE-007</t>
        </is>
      </c>
      <c r="B8" s="8" t="inlineStr">
        <is>
          <t>지수</t>
        </is>
      </c>
      <c r="C8" s="16" t="inlineStr">
        <is>
          <t>복합 위험지수(CSI) 산정 로직</t>
        </is>
      </c>
      <c r="D8" s="16" t="inlineStr">
        <is>
          <t>7개 인자 가중합(30/22/14/12/10/7/5), 등급 구간(E 85·D 70·C 55·B 40·A 0), 상위 5 % 긴급 정밀탐측 대상 표시</t>
        </is>
      </c>
      <c r="E8" s="8" t="inlineStr">
        <is>
          <t>조혜인</t>
        </is>
      </c>
      <c r="F8" s="17" t="n">
        <v>46262</v>
      </c>
      <c r="G8" s="17" t="n">
        <v>46267</v>
      </c>
      <c r="H8" s="8">
        <f>MAX(1,NETWORKDAYS(F8,G8,인덱스!$B$41:$B$47))</f>
        <v/>
      </c>
      <c r="I8" s="8" t="inlineStr">
        <is>
          <t>완료</t>
        </is>
      </c>
      <c r="J8" s="16" t="inlineStr">
        <is>
          <t>SFR-001-04, SFR-001-05, SFR-003-03</t>
        </is>
      </c>
      <c r="K8" s="16" t="inlineStr">
        <is>
          <t>SCR-002</t>
        </is>
      </c>
      <c r="L8" s="16" t="inlineStr">
        <is>
          <t>layers/csi/logic/main.py</t>
        </is>
      </c>
      <c r="M8" s="16" t="inlineStr">
        <is>
          <t>지하수위·포트홀·교통량 인자는 자료 미확보로 제외</t>
        </is>
      </c>
    </row>
    <row r="9">
      <c r="A9" s="8" t="inlineStr">
        <is>
          <t>BE-008</t>
        </is>
      </c>
      <c r="B9" s="8" t="inlineStr">
        <is>
          <t>지수</t>
        </is>
      </c>
      <c r="C9" s="16" t="inlineStr">
        <is>
          <t>기간별 점수 사전 계산</t>
        </is>
      </c>
      <c r="D9" s="16" t="inlineStr">
        <is>
          <t>관측 연도 구간 28개(from–to)에 대해 점수·등급을 미리 계산해 out/scores/{from}-{to}.json, 모델 정보 out/model.json</t>
        </is>
      </c>
      <c r="E9" s="8" t="inlineStr">
        <is>
          <t>조혜인</t>
        </is>
      </c>
      <c r="F9" s="17" t="n">
        <v>46268</v>
      </c>
      <c r="G9" s="17" t="n">
        <v>46269</v>
      </c>
      <c r="H9" s="8">
        <f>MAX(1,NETWORKDAYS(F9,G9,인덱스!$B$41:$B$47))</f>
        <v/>
      </c>
      <c r="I9" s="8" t="inlineStr">
        <is>
          <t>완료</t>
        </is>
      </c>
      <c r="J9" s="16" t="inlineStr">
        <is>
          <t>SFR-001-04, SFR-007-02</t>
        </is>
      </c>
      <c r="K9" s="16" t="inlineStr">
        <is>
          <t>SCR-002</t>
        </is>
      </c>
      <c r="L9" s="16" t="inlineStr">
        <is>
          <t>out/scores/, out/model.json</t>
        </is>
      </c>
      <c r="M9" s="16" t="inlineStr"/>
    </row>
    <row r="10">
      <c r="A10" s="8" t="inlineStr">
        <is>
          <t>BE-009</t>
        </is>
      </c>
      <c r="B10" s="8" t="inlineStr">
        <is>
          <t>구조</t>
        </is>
      </c>
      <c r="C10" s="16" t="inlineStr">
        <is>
          <t>워크스페이스·레이어 자료 구조</t>
        </is>
      </c>
      <c r="D10" s="16" t="inlineStr">
        <is>
          <t>orgs/{org}/org.json, workspaces/{ws}/workspace.json(순서·가시성·스타일), layers/{layer}/manifest.json(kind·styles·source·levels·tiles 색인), build_catalog.py 로 catalog 생성</t>
        </is>
      </c>
      <c r="E10" s="8" t="inlineStr">
        <is>
          <t>유소운</t>
        </is>
      </c>
      <c r="F10" s="17" t="n">
        <v>46272</v>
      </c>
      <c r="G10" s="17" t="n">
        <v>46275</v>
      </c>
      <c r="H10" s="8">
        <f>MAX(1,NETWORKDAYS(F10,G10,인덱스!$B$41:$B$47))</f>
        <v/>
      </c>
      <c r="I10" s="8" t="inlineStr">
        <is>
          <t>완료</t>
        </is>
      </c>
      <c r="J10" s="16" t="inlineStr">
        <is>
          <t>NFR-002-02, NFR-007-02</t>
        </is>
      </c>
      <c r="K10" s="16" t="inlineStr">
        <is>
          <t>-</t>
        </is>
      </c>
      <c r="L10" s="16" t="inlineStr">
        <is>
          <t>tools/build_catalog.py, data/orgs/jeju/**</t>
        </is>
      </c>
      <c r="M10" s="16" t="inlineStr"/>
    </row>
    <row r="11">
      <c r="A11" s="8" t="inlineStr">
        <is>
          <t>BE-010</t>
        </is>
      </c>
      <c r="B11" s="8" t="inlineStr">
        <is>
          <t>지수</t>
        </is>
      </c>
      <c r="C11" s="16" t="inlineStr">
        <is>
          <t>지수 레이어 계약·격리 실행</t>
        </is>
      </c>
      <c r="D11" s="16" t="inlineStr">
        <is>
          <t>index.runtime/entry/inputs/params/out 계약, run_index.py 가 로직을 컨테이너(python:3.12-alpine, --network none, 읽기 전용, --cap-drop ALL, 비root, 메모리 1 g·CPU 1·pids 128)에서 실행, 입력은 /in 읽기 전용</t>
        </is>
      </c>
      <c r="E11" s="8" t="inlineStr">
        <is>
          <t>최성민</t>
        </is>
      </c>
      <c r="F11" s="17" t="n">
        <v>46276</v>
      </c>
      <c r="G11" s="17" t="n">
        <v>46281</v>
      </c>
      <c r="H11" s="8">
        <f>MAX(1,NETWORKDAYS(F11,G11,인덱스!$B$41:$B$47))</f>
        <v/>
      </c>
      <c r="I11" s="8" t="inlineStr">
        <is>
          <t>완료</t>
        </is>
      </c>
      <c r="J11" s="16" t="inlineStr">
        <is>
          <t>SFR-006-01, NFR-003-02</t>
        </is>
      </c>
      <c r="K11" s="16" t="inlineStr">
        <is>
          <t>-</t>
        </is>
      </c>
      <c r="L11" s="16" t="inlineStr">
        <is>
          <t>pipeline/run_index.py</t>
        </is>
      </c>
      <c r="M11" s="16" t="inlineStr"/>
    </row>
    <row r="12">
      <c r="A12" s="8" t="inlineStr">
        <is>
          <t>BE-011</t>
        </is>
      </c>
      <c r="B12" s="8" t="inlineStr">
        <is>
          <t>지수</t>
        </is>
      </c>
      <c r="C12" s="16" t="inlineStr">
        <is>
          <t>샌드박스 탈출 시험·출력 검증</t>
        </is>
      </c>
      <c r="D12" s="16" t="inlineStr">
        <is>
          <t>네트워크·DNS·쓰기 차단과 uid 확인, 출력은 JSON 만·크기 상한·링크 금지 검증 뒤 out/ 원자적 교체</t>
        </is>
      </c>
      <c r="E12" s="8" t="inlineStr">
        <is>
          <t>최성민</t>
        </is>
      </c>
      <c r="F12" s="17" t="n">
        <v>46282</v>
      </c>
      <c r="G12" s="17" t="n">
        <v>46283</v>
      </c>
      <c r="H12" s="8">
        <f>MAX(1,NETWORKDAYS(F12,G12,인덱스!$B$41:$B$47))</f>
        <v/>
      </c>
      <c r="I12" s="8" t="inlineStr">
        <is>
          <t>완료</t>
        </is>
      </c>
      <c r="J12" s="16" t="inlineStr">
        <is>
          <t>NFR-003-02</t>
        </is>
      </c>
      <c r="K12" s="16" t="inlineStr">
        <is>
          <t>-</t>
        </is>
      </c>
      <c r="L12" s="16" t="inlineStr">
        <is>
          <t>pipeline/tests/test_run_index.py</t>
        </is>
      </c>
      <c r="M12" s="16" t="inlineStr"/>
    </row>
    <row r="13">
      <c r="A13" s="8" t="inlineStr">
        <is>
          <t>BE-012</t>
        </is>
      </c>
      <c r="B13" s="8" t="inlineStr">
        <is>
          <t>자료</t>
        </is>
      </c>
      <c r="C13" s="16" t="inlineStr">
        <is>
          <t>데이터 빌드 재현성</t>
        </is>
      </c>
      <c r="D13" s="16" t="inlineStr">
        <is>
          <t>build_data.py 가 orgs/jeju/layers/** 로 산출하고 catalog 까지 만들도록, 산출 자료를 저장소에 포함, README 에 절차</t>
        </is>
      </c>
      <c r="E13" s="8" t="inlineStr">
        <is>
          <t>김규영</t>
        </is>
      </c>
      <c r="F13" s="17" t="n">
        <v>46286</v>
      </c>
      <c r="G13" s="17" t="n">
        <v>46287</v>
      </c>
      <c r="H13" s="8">
        <f>MAX(1,NETWORKDAYS(F13,G13,인덱스!$B$41:$B$47))</f>
        <v/>
      </c>
      <c r="I13" s="8" t="inlineStr">
        <is>
          <t>완료</t>
        </is>
      </c>
      <c r="J13" s="16" t="inlineStr">
        <is>
          <t>NFR-007-02</t>
        </is>
      </c>
      <c r="K13" s="16" t="inlineStr">
        <is>
          <t>-</t>
        </is>
      </c>
      <c r="L13" s="16" t="inlineStr">
        <is>
          <t>README, data/</t>
        </is>
      </c>
      <c r="M13" s="16" t="inlineStr"/>
    </row>
    <row r="14">
      <c r="A14" s="8" t="inlineStr">
        <is>
          <t>BE-013</t>
        </is>
      </c>
      <c r="B14" s="8" t="inlineStr">
        <is>
          <t>API</t>
        </is>
      </c>
      <c r="C14" s="16" t="inlineStr">
        <is>
          <t>BE 저장소 분리·API 골격</t>
        </is>
      </c>
      <c r="D14" s="16" t="inlineStr">
        <is>
          <t>jeju-ai-saas-be 로 분리, Node 24 + Fastify 5, @fastify/swagger 로 OpenAPI 생성, openapi.json 을 계약으로 고정(openapi:check)</t>
        </is>
      </c>
      <c r="E14" s="8" t="inlineStr">
        <is>
          <t>유소운</t>
        </is>
      </c>
      <c r="F14" s="17" t="n">
        <v>46288</v>
      </c>
      <c r="G14" s="17" t="n">
        <v>46295</v>
      </c>
      <c r="H14" s="8">
        <f>MAX(1,NETWORKDAYS(F14,G14,인덱스!$B$41:$B$47))</f>
        <v/>
      </c>
      <c r="I14" s="8" t="inlineStr">
        <is>
          <t>완료</t>
        </is>
      </c>
      <c r="J14" s="16" t="inlineStr">
        <is>
          <t>NFR-002-02, NFR-005-01</t>
        </is>
      </c>
      <c r="K14" s="16" t="inlineStr">
        <is>
          <t>-</t>
        </is>
      </c>
      <c r="L14" s="16" t="inlineStr">
        <is>
          <t>api/src/app.ts, openapi.json</t>
        </is>
      </c>
      <c r="M14" s="16" t="inlineStr">
        <is>
          <t>FE 분리(FE 시트)와 같은 주</t>
        </is>
      </c>
    </row>
    <row r="15">
      <c r="A15" s="8" t="inlineStr">
        <is>
          <t>BE-014</t>
        </is>
      </c>
      <c r="B15" s="8" t="inlineStr">
        <is>
          <t>저장소</t>
        </is>
      </c>
      <c r="C15" s="16" t="inlineStr">
        <is>
          <t>객체 저장소(SeaweedFS S3)·동기화 CLI</t>
        </is>
      </c>
      <c r="D15" s="16" t="inlineStr">
        <is>
          <t>S3 호환 저장소 compose(필러 UI 127.0.0.1:8888), storage push/pull CLI(md5·ETag 로 바뀐 것만), 버킷 자료 구조 문서</t>
        </is>
      </c>
      <c r="E15" s="8" t="inlineStr">
        <is>
          <t>전재환</t>
        </is>
      </c>
      <c r="F15" s="17" t="n">
        <v>46296</v>
      </c>
      <c r="G15" s="17" t="n">
        <v>46297</v>
      </c>
      <c r="H15" s="8">
        <f>MAX(1,NETWORKDAYS(F15,G15,인덱스!$B$41:$B$47))</f>
        <v/>
      </c>
      <c r="I15" s="8" t="inlineStr">
        <is>
          <t>완료</t>
        </is>
      </c>
      <c r="J15" s="16" t="inlineStr">
        <is>
          <t>SFR-004-04, NFR-003-04</t>
        </is>
      </c>
      <c r="K15" s="16" t="inlineStr">
        <is>
          <t>-</t>
        </is>
      </c>
      <c r="L15" s="16" t="inlineStr">
        <is>
          <t>docker-compose.yml, api/src/cli/storage.ts</t>
        </is>
      </c>
      <c r="M15" s="16" t="inlineStr"/>
    </row>
    <row r="16">
      <c r="A16" s="8" t="inlineStr">
        <is>
          <t>BE-015</t>
        </is>
      </c>
      <c r="B16" s="8" t="inlineStr">
        <is>
          <t>API</t>
        </is>
      </c>
      <c r="C16" s="16" t="inlineStr">
        <is>
          <t>catalog·workspace·layer files API</t>
        </is>
      </c>
      <c r="D16" s="16" t="inlineStr">
        <is>
          <t>/api/catalog, /api/orgs/:org/workspaces/:ws, /api/orgs/:org/layers/:layer/files/*(ETag/304, JSON·GeoJSON 만, 경로 검증), /api/health, /api/openapi.json</t>
        </is>
      </c>
      <c r="E16" s="8" t="inlineStr">
        <is>
          <t>유소운</t>
        </is>
      </c>
      <c r="F16" s="17" t="n">
        <v>46301</v>
      </c>
      <c r="G16" s="17" t="n">
        <v>46303</v>
      </c>
      <c r="H16" s="8">
        <f>MAX(1,NETWORKDAYS(F16,G16,인덱스!$B$41:$B$47))</f>
        <v/>
      </c>
      <c r="I16" s="8" t="inlineStr">
        <is>
          <t>완료</t>
        </is>
      </c>
      <c r="J16" s="16" t="inlineStr">
        <is>
          <t>SFR-007-01, NFR-003-03</t>
        </is>
      </c>
      <c r="K16" s="16" t="inlineStr">
        <is>
          <t>-</t>
        </is>
      </c>
      <c r="L16" s="16" t="inlineStr">
        <is>
          <t>api/src/catalog.ts, storage.ts, sync.ts</t>
        </is>
      </c>
      <c r="M16" s="16" t="inlineStr"/>
    </row>
    <row r="17">
      <c r="A17" s="8" t="inlineStr">
        <is>
          <t>BE-016</t>
        </is>
      </c>
      <c r="B17" s="8" t="inlineStr">
        <is>
          <t>배포</t>
        </is>
      </c>
      <c r="C17" s="16" t="inlineStr">
        <is>
          <t>API 이미지·dev 배포 연동</t>
        </is>
      </c>
      <c r="D17" s="16" t="inlineStr">
        <is>
          <t>Dockerfile, 환경 변수(S3 엔드포인트·버킷·자격), develop 이미지 push 워크플로, dev 에서 FE → API → 저장소 경로 확인</t>
        </is>
      </c>
      <c r="E17" s="8" t="inlineStr">
        <is>
          <t>전재환</t>
        </is>
      </c>
      <c r="F17" s="17" t="n">
        <v>46307</v>
      </c>
      <c r="G17" s="17" t="n">
        <v>46308</v>
      </c>
      <c r="H17" s="8">
        <f>MAX(1,NETWORKDAYS(F17,G17,인덱스!$B$41:$B$47))</f>
        <v/>
      </c>
      <c r="I17" s="8" t="inlineStr">
        <is>
          <t>완료</t>
        </is>
      </c>
      <c r="J17" s="16" t="inlineStr">
        <is>
          <t>NFR-005-01</t>
        </is>
      </c>
      <c r="K17" s="16" t="inlineStr">
        <is>
          <t>-</t>
        </is>
      </c>
      <c r="L17" s="16" t="inlineStr">
        <is>
          <t>api/Dockerfile, .github/workflows</t>
        </is>
      </c>
      <c r="M17" s="16" t="inlineStr">
        <is>
          <t>클러스터 쪽은 DevOps 시트</t>
        </is>
      </c>
    </row>
    <row r="18">
      <c r="A18" s="8" t="inlineStr">
        <is>
          <t>BE-017</t>
        </is>
      </c>
      <c r="B18" s="8" t="inlineStr">
        <is>
          <t>품질</t>
        </is>
      </c>
      <c r="C18" s="16" t="inlineStr">
        <is>
          <t>품질 검사 1–2단계: 도구·훅·린트</t>
        </is>
      </c>
      <c r="D18" s="16" t="inlineStr">
        <is>
          <t>mise(node·python·lefthook·gitleaks·ruff·yamllint·hadolint·actionlint·pip-audit), lefthook, .gitleaks.toml, API ESLint 타입 규칙·파이프라인 ruff 지적 전부 수정, 커버리지 하한 70 %(실측 99/94/100)</t>
        </is>
      </c>
      <c r="E18" s="8" t="inlineStr">
        <is>
          <t>최성민</t>
        </is>
      </c>
      <c r="F18" s="17" t="n">
        <v>46309</v>
      </c>
      <c r="G18" s="17" t="n">
        <v>46311</v>
      </c>
      <c r="H18" s="8">
        <f>MAX(1,NETWORKDAYS(F18,G18,인덱스!$B$41:$B$47))</f>
        <v/>
      </c>
      <c r="I18" s="8" t="inlineStr">
        <is>
          <t>완료</t>
        </is>
      </c>
      <c r="J18" s="16" t="inlineStr">
        <is>
          <t>NFR-003-01</t>
        </is>
      </c>
      <c r="K18" s="16" t="inlineStr">
        <is>
          <t>-</t>
        </is>
      </c>
      <c r="L18" s="16" t="inlineStr">
        <is>
          <t>mise.toml, lefthook.yml, api/eslint.config.js, pipeline/pyproject.toml</t>
        </is>
      </c>
      <c r="M18" s="16" t="inlineStr">
        <is>
          <t>zip(strict=True) 로 길이 불일치 시 오류</t>
        </is>
      </c>
    </row>
    <row r="19">
      <c r="A19" s="8" t="inlineStr">
        <is>
          <t>BE-018</t>
        </is>
      </c>
      <c r="B19" s="8" t="inlineStr">
        <is>
          <t>품질</t>
        </is>
      </c>
      <c r="C19" s="16" t="inlineStr">
        <is>
          <t>품질 검사 3단계: 통합 테스트·CI 게이트·야간 검사</t>
        </is>
      </c>
      <c r="D19" s="16" t="inlineStr">
        <is>
          <t>실제 SeaweedFS 통합 테스트 16개(전용 compose), 합성 자료 시드, ci.yml(checks·integration·pipeline → develop 만 build-push, semgrep), nightly.yml(k6·ZAP·trivy 보고), @fastify/helmet 헤더</t>
        </is>
      </c>
      <c r="E19" s="8" t="inlineStr">
        <is>
          <t>최성민</t>
        </is>
      </c>
      <c r="F19" s="17" t="n">
        <v>46314</v>
      </c>
      <c r="G19" s="17" t="n">
        <v>46317</v>
      </c>
      <c r="H19" s="8">
        <f>MAX(1,NETWORKDAYS(F19,G19,인덱스!$B$41:$B$47))</f>
        <v/>
      </c>
      <c r="I19" s="8" t="inlineStr">
        <is>
          <t>진행</t>
        </is>
      </c>
      <c r="J19" s="16" t="inlineStr">
        <is>
          <t>NFR-003-01, NFR-001-01</t>
        </is>
      </c>
      <c r="K19" s="16" t="inlineStr">
        <is>
          <t>-</t>
        </is>
      </c>
      <c r="L19" s="16" t="inlineStr">
        <is>
          <t>.github/workflows/ci.yml, nightly.yml, api/test/integration</t>
        </is>
      </c>
      <c r="M19" s="16" t="inlineStr">
        <is>
          <t>종료일은 예정일. 설정 결정 4건(BE #2) 대기</t>
        </is>
      </c>
    </row>
    <row r="20">
      <c r="A20" s="8" t="inlineStr">
        <is>
          <t>BE-019</t>
        </is>
      </c>
      <c r="B20" s="8" t="inlineStr">
        <is>
          <t>품질</t>
        </is>
      </c>
      <c r="C20" s="16" t="inlineStr">
        <is>
          <t>품질 게이트 마무리</t>
        </is>
      </c>
      <c r="D20" s="16" t="inlineStr">
        <is>
          <t>설정 결정 4건 반영(BE #2), 러너에서 nightly.yml 실제 실행 확인(BE #1), 깨끗한 클론 재현</t>
        </is>
      </c>
      <c r="E20" s="8" t="inlineStr">
        <is>
          <t>최성민</t>
        </is>
      </c>
      <c r="F20" s="17" t="n">
        <v>46318</v>
      </c>
      <c r="G20" s="17" t="n">
        <v>46321</v>
      </c>
      <c r="H20" s="8">
        <f>MAX(1,NETWORKDAYS(F20,G20,인덱스!$B$41:$B$47))</f>
        <v/>
      </c>
      <c r="I20" s="8" t="inlineStr">
        <is>
          <t>예정</t>
        </is>
      </c>
      <c r="J20" s="16" t="inlineStr">
        <is>
          <t>NFR-003-01</t>
        </is>
      </c>
      <c r="K20" s="16" t="inlineStr">
        <is>
          <t>-</t>
        </is>
      </c>
      <c r="L20" s="16" t="inlineStr">
        <is>
          <t>GitHub 이슈 BE #1, #2</t>
        </is>
      </c>
      <c r="M20" s="16" t="inlineStr"/>
    </row>
    <row r="21">
      <c r="A21" s="8" t="inlineStr">
        <is>
          <t>BE-020</t>
        </is>
      </c>
      <c r="B21" s="8" t="inlineStr">
        <is>
          <t>인증</t>
        </is>
      </c>
      <c r="C21" s="16" t="inlineStr">
        <is>
          <t>로그인·인증 API</t>
        </is>
      </c>
      <c r="D21" s="16" t="inlineStr">
        <is>
          <t>ID/비밀번호(해시 저장) 또는 OIDC 연동 선택, 세션 쿠키(HttpOnly·SameSite), 역할 3종, 로그인 시도 제한, 인증 필요 경로 보호</t>
        </is>
      </c>
      <c r="E21" s="8" t="inlineStr">
        <is>
          <t>전재환</t>
        </is>
      </c>
      <c r="F21" s="17" t="n">
        <v>46322</v>
      </c>
      <c r="G21" s="17" t="n">
        <v>46329</v>
      </c>
      <c r="H21" s="8">
        <f>MAX(1,NETWORKDAYS(F21,G21,인덱스!$B$41:$B$47))</f>
        <v/>
      </c>
      <c r="I21" s="8" t="inlineStr">
        <is>
          <t>예정</t>
        </is>
      </c>
      <c r="J21" s="16" t="inlineStr">
        <is>
          <t>SFR-008-02, NFR-003-01</t>
        </is>
      </c>
      <c r="K21" s="16" t="inlineStr">
        <is>
          <t>SCR-010</t>
        </is>
      </c>
      <c r="L21" s="16" t="inlineStr">
        <is>
          <t>-</t>
        </is>
      </c>
      <c r="M21" s="16" t="inlineStr">
        <is>
          <t>FE 로그인 화면과 함께. SSO 연계는 발주처 환경 확인 뒤</t>
        </is>
      </c>
    </row>
    <row r="22">
      <c r="A22" s="8" t="inlineStr">
        <is>
          <t>BE-021</t>
        </is>
      </c>
      <c r="B22" s="8" t="inlineStr">
        <is>
          <t>DB</t>
        </is>
      </c>
      <c r="C22" s="16" t="inlineStr">
        <is>
          <t>메타데이터 DB 설계</t>
        </is>
      </c>
      <c r="D22" s="16" t="inlineStr">
        <is>
          <t>PostgreSQL(+PostGIS) 스키마: 조직·워크스페이스·레이어·레이어 버전·권한·사용자·작업 기록, 파일 catalog 와의 대응표, 마이그레이션 도구 선정</t>
        </is>
      </c>
      <c r="E22" s="8" t="inlineStr">
        <is>
          <t>유소운</t>
        </is>
      </c>
      <c r="F22" s="17" t="n">
        <v>46330</v>
      </c>
      <c r="G22" s="17" t="n">
        <v>46332</v>
      </c>
      <c r="H22" s="8">
        <f>MAX(1,NETWORKDAYS(F22,G22,인덱스!$B$41:$B$47))</f>
        <v/>
      </c>
      <c r="I22" s="8" t="inlineStr">
        <is>
          <t>예정</t>
        </is>
      </c>
      <c r="J22" s="16" t="inlineStr">
        <is>
          <t>SFR-008-01, SFR-008-03</t>
        </is>
      </c>
      <c r="K22" s="16" t="inlineStr">
        <is>
          <t>-</t>
        </is>
      </c>
      <c r="L22" s="16" t="inlineStr">
        <is>
          <t>설계 문서</t>
        </is>
      </c>
      <c r="M22" s="16" t="inlineStr">
        <is>
          <t>DB 운영(복제·백업)은 DevOps 시트</t>
        </is>
      </c>
    </row>
    <row r="23">
      <c r="A23" s="8" t="inlineStr">
        <is>
          <t>BE-022</t>
        </is>
      </c>
      <c r="B23" s="8" t="inlineStr">
        <is>
          <t>DB</t>
        </is>
      </c>
      <c r="C23" s="16" t="inlineStr">
        <is>
          <t>조직·워크스페이스·레이어 DB 전환</t>
        </is>
      </c>
      <c r="D23" s="16" t="inlineStr">
        <is>
          <t>CRUD API(조직·워크스페이스·레이어·순서·스타일), 파일 catalog → DB 이관 스크립트, 권한 검사(조직 소유·타 조직 읽기), 레이어 파일은 계속 객체 저장소</t>
        </is>
      </c>
      <c r="E23" s="8" t="inlineStr">
        <is>
          <t>유소운</t>
        </is>
      </c>
      <c r="F23" s="17" t="n">
        <v>46335</v>
      </c>
      <c r="G23" s="17" t="n">
        <v>46343</v>
      </c>
      <c r="H23" s="8">
        <f>MAX(1,NETWORKDAYS(F23,G23,인덱스!$B$41:$B$47))</f>
        <v/>
      </c>
      <c r="I23" s="8" t="inlineStr">
        <is>
          <t>예정</t>
        </is>
      </c>
      <c r="J23" s="16" t="inlineStr">
        <is>
          <t>SFR-008-01, SFR-008-02, NFR-002-02</t>
        </is>
      </c>
      <c r="K23" s="16" t="inlineStr">
        <is>
          <t>SCR-010</t>
        </is>
      </c>
      <c r="L23" s="16" t="inlineStr">
        <is>
          <t>-</t>
        </is>
      </c>
      <c r="M23" s="16" t="inlineStr">
        <is>
          <t>FE 관리 화면 전환과 함께</t>
        </is>
      </c>
    </row>
    <row r="24">
      <c r="A24" s="8" t="inlineStr">
        <is>
          <t>BE-023</t>
        </is>
      </c>
      <c r="B24" s="8" t="inlineStr">
        <is>
          <t>DB</t>
        </is>
      </c>
      <c r="C24" s="16" t="inlineStr">
        <is>
          <t>작업 기록(감사) 저장 API</t>
        </is>
      </c>
      <c r="D24" s="16" t="inlineStr">
        <is>
          <t>내보내기·사고 변경·권한 변경 기록 저장·조회·필터, 보존 기간</t>
        </is>
      </c>
      <c r="E24" s="8" t="inlineStr">
        <is>
          <t>전재환</t>
        </is>
      </c>
      <c r="F24" s="17" t="n">
        <v>46344</v>
      </c>
      <c r="G24" s="17" t="n">
        <v>46345</v>
      </c>
      <c r="H24" s="8">
        <f>MAX(1,NETWORKDAYS(F24,G24,인덱스!$B$41:$B$47))</f>
        <v/>
      </c>
      <c r="I24" s="8" t="inlineStr">
        <is>
          <t>예정</t>
        </is>
      </c>
      <c r="J24" s="16" t="inlineStr">
        <is>
          <t>NFR-003-05</t>
        </is>
      </c>
      <c r="K24" s="16" t="inlineStr">
        <is>
          <t>SCR-013</t>
        </is>
      </c>
      <c r="L24" s="16" t="inlineStr">
        <is>
          <t>-</t>
        </is>
      </c>
      <c r="M24" s="16" t="inlineStr"/>
    </row>
    <row r="25">
      <c r="A25" s="8" t="inlineStr">
        <is>
          <t>BE-024</t>
        </is>
      </c>
      <c r="B25" s="8" t="inlineStr">
        <is>
          <t>타일</t>
        </is>
      </c>
      <c r="C25" s="16" t="inlineStr">
        <is>
          <t>벡터 타일 전환 조사</t>
        </is>
      </c>
      <c r="D25" s="16" t="inlineStr">
        <is>
          <t>JSON 블록 타일 → MBTiles 또는 PMTiles 비교: tippecanoe 변환 용량·시간, 제공 방식(martin 타일 서버 vs S3 range 요청으로 PMTiles 직접), 캐시·갱신 절차</t>
        </is>
      </c>
      <c r="E25" s="8" t="inlineStr">
        <is>
          <t>조혜인</t>
        </is>
      </c>
      <c r="F25" s="17" t="n">
        <v>46346</v>
      </c>
      <c r="G25" s="17" t="n">
        <v>46350</v>
      </c>
      <c r="H25" s="8">
        <f>MAX(1,NETWORKDAYS(F25,G25,인덱스!$B$41:$B$47))</f>
        <v/>
      </c>
      <c r="I25" s="8" t="inlineStr">
        <is>
          <t>예정</t>
        </is>
      </c>
      <c r="J25" s="16" t="inlineStr">
        <is>
          <t>NFR-001-01, NFR-008-01</t>
        </is>
      </c>
      <c r="K25" s="16" t="inlineStr">
        <is>
          <t>SCR-004</t>
        </is>
      </c>
      <c r="L25" s="16" t="inlineStr">
        <is>
          <t>조사 메모</t>
        </is>
      </c>
      <c r="M25" s="16" t="inlineStr">
        <is>
          <t>FE 렌더링 평가와 같이</t>
        </is>
      </c>
    </row>
    <row r="26">
      <c r="A26" s="8" t="inlineStr">
        <is>
          <t>BE-025</t>
        </is>
      </c>
      <c r="B26" s="8" t="inlineStr">
        <is>
          <t>타일</t>
        </is>
      </c>
      <c r="C26" s="16" t="inlineStr">
        <is>
          <t>벡터 타일 파이프라인·제공</t>
        </is>
      </c>
      <c r="D26" s="16" t="inlineStr">
        <is>
          <t>build_data 산출(10 m 격자·InSAR·100 m 집계)을 벡터 타일로 변환해 객체 저장소에 올리고 타일 API 또는 서버 구성, manifest source 에 tiles 종류 추가, JSON 타일과 병행</t>
        </is>
      </c>
      <c r="E26" s="8" t="inlineStr">
        <is>
          <t>조혜인</t>
        </is>
      </c>
      <c r="F26" s="17" t="n">
        <v>46351</v>
      </c>
      <c r="G26" s="17" t="n">
        <v>46358</v>
      </c>
      <c r="H26" s="8">
        <f>MAX(1,NETWORKDAYS(F26,G26,인덱스!$B$41:$B$47))</f>
        <v/>
      </c>
      <c r="I26" s="8" t="inlineStr">
        <is>
          <t>예정</t>
        </is>
      </c>
      <c r="J26" s="16" t="inlineStr">
        <is>
          <t>SFR-002-01, NFR-001-01</t>
        </is>
      </c>
      <c r="K26" s="16" t="inlineStr">
        <is>
          <t>SCR-004</t>
        </is>
      </c>
      <c r="L26" s="16" t="inlineStr">
        <is>
          <t>-</t>
        </is>
      </c>
      <c r="M26" s="16" t="inlineStr"/>
    </row>
    <row r="27">
      <c r="A27" s="8" t="inlineStr">
        <is>
          <t>BE-026</t>
        </is>
      </c>
      <c r="B27" s="8" t="inlineStr">
        <is>
          <t>자료</t>
        </is>
      </c>
      <c r="C27" s="16" t="inlineStr">
        <is>
          <t>시계열 InSAR 적재</t>
        </is>
      </c>
      <c r="D27" s="16" t="inlineStr">
        <is>
          <t>시계열 변위 입수 뒤 가속도 인자 산출(load_insar 2차 항), 기간별 점수에 반영</t>
        </is>
      </c>
      <c r="E27" s="8" t="inlineStr">
        <is>
          <t>김규영</t>
        </is>
      </c>
      <c r="F27" s="17" t="n">
        <v>46359</v>
      </c>
      <c r="G27" s="17" t="n">
        <v>46364</v>
      </c>
      <c r="H27" s="8">
        <f>MAX(1,NETWORKDAYS(F27,G27,인덱스!$B$41:$B$47))</f>
        <v/>
      </c>
      <c r="I27" s="8" t="inlineStr">
        <is>
          <t>예정</t>
        </is>
      </c>
      <c r="J27" s="16" t="inlineStr">
        <is>
          <t>SFR-002-01, SFR-007-02</t>
        </is>
      </c>
      <c r="K27" s="16" t="inlineStr">
        <is>
          <t>SCR-004</t>
        </is>
      </c>
      <c r="L27" s="16" t="inlineStr">
        <is>
          <t>-</t>
        </is>
      </c>
      <c r="M27" s="16" t="inlineStr">
        <is>
          <t>자료 입수 뒤</t>
        </is>
      </c>
    </row>
  </sheetData>
  <autoFilter ref="A1:M27"/>
  <conditionalFormatting sqref="I2:I27">
    <cfRule type="cellIs" priority="1" operator="equal" dxfId="0">
      <formula>"완료"</formula>
    </cfRule>
    <cfRule type="cellIs" priority="2" operator="equal" dxfId="1">
      <formula>"진행"</formula>
    </cfRule>
    <cfRule type="cellIs" priority="3" operator="equal" dxfId="2">
      <formula>"예정"</formula>
    </cfRule>
  </conditionalFormatting>
  <dataValidations count="1">
    <dataValidation sqref="I2:I500" showDropDown="0" showInputMessage="0" showErrorMessage="0" allowBlank="0" type="list">
      <formula1>"완료,진행,예정"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8" customWidth="1" min="2" max="2"/>
    <col width="30" customWidth="1" min="3" max="3"/>
    <col width="60" customWidth="1" min="4" max="4"/>
    <col width="9" customWidth="1" min="5" max="5"/>
    <col width="11" customWidth="1" min="6" max="6"/>
    <col width="11" customWidth="1" min="7" max="7"/>
    <col width="8" customWidth="1" min="8" max="8"/>
    <col width="7" customWidth="1" min="9" max="9"/>
    <col width="20" customWidth="1" min="10" max="10"/>
    <col width="16" customWidth="1" min="11" max="11"/>
    <col width="34" customWidth="1" min="12" max="12"/>
    <col width="30" customWidth="1" min="13" max="13"/>
  </cols>
  <sheetData>
    <row r="1" ht="24" customHeight="1">
      <c r="A1" s="6" t="inlineStr">
        <is>
          <t>ID</t>
        </is>
      </c>
      <c r="B1" s="6" t="inlineStr">
        <is>
          <t>영역</t>
        </is>
      </c>
      <c r="C1" s="6" t="inlineStr">
        <is>
          <t>작업명</t>
        </is>
      </c>
      <c r="D1" s="6" t="inlineStr">
        <is>
          <t>작업 내용</t>
        </is>
      </c>
      <c r="E1" s="6" t="inlineStr">
        <is>
          <t>담당자</t>
        </is>
      </c>
      <c r="F1" s="6" t="inlineStr">
        <is>
          <t>시작일</t>
        </is>
      </c>
      <c r="G1" s="6" t="inlineStr">
        <is>
          <t>종료일</t>
        </is>
      </c>
      <c r="H1" s="6" t="inlineStr">
        <is>
          <t>공수(일)</t>
        </is>
      </c>
      <c r="I1" s="6" t="inlineStr">
        <is>
          <t>상태</t>
        </is>
      </c>
      <c r="J1" s="6" t="inlineStr">
        <is>
          <t>관련 요구사항ID</t>
        </is>
      </c>
      <c r="K1" s="6" t="inlineStr">
        <is>
          <t>관련 화면ID</t>
        </is>
      </c>
      <c r="L1" s="6" t="inlineStr">
        <is>
          <t>산출물</t>
        </is>
      </c>
      <c r="M1" s="6" t="inlineStr">
        <is>
          <t>비고</t>
        </is>
      </c>
    </row>
    <row r="2">
      <c r="A2" s="8" t="inlineStr">
        <is>
          <t>DEVOPS-001</t>
        </is>
      </c>
      <c r="B2" s="8" t="inlineStr">
        <is>
          <t>가상화</t>
        </is>
      </c>
      <c r="C2" s="16" t="inlineStr">
        <is>
          <t>Proxmox 노드 정리</t>
        </is>
      </c>
      <c r="D2" s="16" t="inlineStr">
        <is>
          <t>호스트명 pve-1 통일, APT 저장소를 no-subscription 으로 교체</t>
        </is>
      </c>
      <c r="E2" s="8" t="inlineStr">
        <is>
          <t>박가람</t>
        </is>
      </c>
      <c r="F2" s="17" t="n">
        <v>46301</v>
      </c>
      <c r="G2" s="17" t="n">
        <v>46301</v>
      </c>
      <c r="H2" s="8">
        <f>MAX(1,NETWORKDAYS(F2,G2,인덱스!$B$41:$B$47))</f>
        <v/>
      </c>
      <c r="I2" s="8" t="inlineStr">
        <is>
          <t>완료</t>
        </is>
      </c>
      <c r="J2" s="16" t="inlineStr">
        <is>
          <t>NFR-005-02</t>
        </is>
      </c>
      <c r="K2" s="16" t="inlineStr">
        <is>
          <t>-</t>
        </is>
      </c>
      <c r="L2" s="16" t="inlineStr">
        <is>
          <t>docs/history/2026/10/06/01</t>
        </is>
      </c>
      <c r="M2" s="16" t="inlineStr"/>
    </row>
    <row r="3">
      <c r="A3" s="8" t="inlineStr">
        <is>
          <t>DEVOPS-002</t>
        </is>
      </c>
      <c r="B3" s="8" t="inlineStr">
        <is>
          <t>클러스터</t>
        </is>
      </c>
      <c r="C3" s="16" t="inlineStr">
        <is>
          <t>클러스터 구축 준비</t>
        </is>
      </c>
      <c r="D3" s="16" t="inlineStr">
        <is>
          <t>mise 로 도구 설치, Proxmox API 토큰, OpenTofu(VM)·Talos(머신 설정·부트스트랩)·Cilium(values·LB IP 풀) 코드 작성, 저장소 첫 커밋과 비밀값 제외 규칙</t>
        </is>
      </c>
      <c r="E3" s="8" t="inlineStr">
        <is>
          <t>박가람</t>
        </is>
      </c>
      <c r="F3" s="17" t="n">
        <v>46301</v>
      </c>
      <c r="G3" s="17" t="n">
        <v>46301</v>
      </c>
      <c r="H3" s="8">
        <f>MAX(1,NETWORKDAYS(F3,G3,인덱스!$B$41:$B$47))</f>
        <v/>
      </c>
      <c r="I3" s="8" t="inlineStr">
        <is>
          <t>완료</t>
        </is>
      </c>
      <c r="J3" s="16" t="inlineStr">
        <is>
          <t>NFR-005-01</t>
        </is>
      </c>
      <c r="K3" s="16" t="inlineStr">
        <is>
          <t>-</t>
        </is>
      </c>
      <c r="L3" s="16" t="inlineStr">
        <is>
          <t>tofu/, talos/, k8s/cilium/, 10/06/02–04</t>
        </is>
      </c>
      <c r="M3" s="16" t="inlineStr"/>
    </row>
    <row r="4">
      <c r="A4" s="8" t="inlineStr">
        <is>
          <t>DEVOPS-003</t>
        </is>
      </c>
      <c r="B4" s="8" t="inlineStr">
        <is>
          <t>클러스터</t>
        </is>
      </c>
      <c r="C4" s="16" t="inlineStr">
        <is>
          <t>dev0 클러스터 부트스트랩</t>
        </is>
      </c>
      <c r="D4" s="16" t="inlineStr">
        <is>
          <t>Talos VM 3대(컨트롤 플레인 1·워커 2) 생성, Kubernetes 부트스트랩, dev·stage 네임스페이스</t>
        </is>
      </c>
      <c r="E4" s="8" t="inlineStr">
        <is>
          <t>박가람</t>
        </is>
      </c>
      <c r="F4" s="17" t="n">
        <v>46301</v>
      </c>
      <c r="G4" s="17" t="n">
        <v>46301</v>
      </c>
      <c r="H4" s="8">
        <f>MAX(1,NETWORKDAYS(F4,G4,인덱스!$B$41:$B$47))</f>
        <v/>
      </c>
      <c r="I4" s="8" t="inlineStr">
        <is>
          <t>완료</t>
        </is>
      </c>
      <c r="J4" s="16" t="inlineStr">
        <is>
          <t>NFR-005-01</t>
        </is>
      </c>
      <c r="K4" s="16" t="inlineStr">
        <is>
          <t>-</t>
        </is>
      </c>
      <c r="L4" s="16" t="inlineStr">
        <is>
          <t>10/06/05</t>
        </is>
      </c>
      <c r="M4" s="16" t="inlineStr">
        <is>
          <t>이후 10/09 에 6대로 확장</t>
        </is>
      </c>
    </row>
    <row r="5">
      <c r="A5" s="8" t="inlineStr">
        <is>
          <t>DEVOPS-004</t>
        </is>
      </c>
      <c r="B5" s="8" t="inlineStr">
        <is>
          <t>스토리지</t>
        </is>
      </c>
      <c r="C5" s="16" t="inlineStr">
        <is>
          <t>local-path 스토리지</t>
        </is>
      </c>
      <c r="D5" s="16" t="inlineStr">
        <is>
          <t>워커에 Talos 사용자 볼륨, local-path-provisioner 를 기본 StorageClass 로 설치</t>
        </is>
      </c>
      <c r="E5" s="8" t="inlineStr">
        <is>
          <t>박가람</t>
        </is>
      </c>
      <c r="F5" s="17" t="n">
        <v>46301</v>
      </c>
      <c r="G5" s="17" t="n">
        <v>46301</v>
      </c>
      <c r="H5" s="8">
        <f>MAX(1,NETWORKDAYS(F5,G5,인덱스!$B$41:$B$47))</f>
        <v/>
      </c>
      <c r="I5" s="8" t="inlineStr">
        <is>
          <t>완료</t>
        </is>
      </c>
      <c r="J5" s="16" t="inlineStr">
        <is>
          <t>NFR-004-01</t>
        </is>
      </c>
      <c r="K5" s="16" t="inlineStr">
        <is>
          <t>-</t>
        </is>
      </c>
      <c r="L5" s="16" t="inlineStr">
        <is>
          <t>k8s/storage/, 10/06/09</t>
        </is>
      </c>
      <c r="M5" s="16" t="inlineStr"/>
    </row>
    <row r="6">
      <c r="A6" s="8" t="inlineStr">
        <is>
          <t>DEVOPS-005</t>
        </is>
      </c>
      <c r="B6" s="8" t="inlineStr">
        <is>
          <t>접근</t>
        </is>
      </c>
      <c r="C6" s="16" t="inlineStr">
        <is>
          <t>Tailscale 경유 API 접속·CA 교체</t>
        </is>
      </c>
      <c r="D6" s="16" t="inlineStr">
        <is>
          <t>Tailscale 포트 전달과 전용 kubeconfig, 노출된 kubeconfig 를 무효화하려고 Kubernetes API CA 교체, CA 교체 이전 백업 삭제</t>
        </is>
      </c>
      <c r="E6" s="8" t="inlineStr">
        <is>
          <t>박가람</t>
        </is>
      </c>
      <c r="F6" s="17" t="n">
        <v>46301</v>
      </c>
      <c r="G6" s="17" t="n">
        <v>46301</v>
      </c>
      <c r="H6" s="8">
        <f>MAX(1,NETWORKDAYS(F6,G6,인덱스!$B$41:$B$47))</f>
        <v/>
      </c>
      <c r="I6" s="8" t="inlineStr">
        <is>
          <t>완료</t>
        </is>
      </c>
      <c r="J6" s="16" t="inlineStr">
        <is>
          <t>NFR-003-01, NFR-003-04</t>
        </is>
      </c>
      <c r="K6" s="16" t="inlineStr">
        <is>
          <t>-</t>
        </is>
      </c>
      <c r="L6" s="16" t="inlineStr">
        <is>
          <t>10/06/12, 13, 18</t>
        </is>
      </c>
      <c r="M6" s="16" t="inlineStr"/>
    </row>
    <row r="7">
      <c r="A7" s="8" t="inlineStr">
        <is>
          <t>DEVOPS-006</t>
        </is>
      </c>
      <c r="B7" s="8" t="inlineStr">
        <is>
          <t>문서</t>
        </is>
      </c>
      <c r="C7" s="16" t="inlineStr">
        <is>
          <t>C4 구조도·구축 보고서·백업 절차</t>
        </is>
      </c>
      <c r="D7" s="16" t="inlineStr">
        <is>
          <t>dev0 C4 구조도(flowchart 로 교체), 로컬 Kubernetes 구축 보고서 두 판(공유용은 보안 사고 장·Tailscale 제외), 비밀 파일 백업 절차 문서</t>
        </is>
      </c>
      <c r="E7" s="8" t="inlineStr">
        <is>
          <t>박가람</t>
        </is>
      </c>
      <c r="F7" s="17" t="n">
        <v>46301</v>
      </c>
      <c r="G7" s="17" t="n">
        <v>46301</v>
      </c>
      <c r="H7" s="8">
        <f>MAX(1,NETWORKDAYS(F7,G7,인덱스!$B$41:$B$47))</f>
        <v/>
      </c>
      <c r="I7" s="8" t="inlineStr">
        <is>
          <t>완료</t>
        </is>
      </c>
      <c r="J7" s="16" t="inlineStr">
        <is>
          <t>NFR-007-02</t>
        </is>
      </c>
      <c r="K7" s="16" t="inlineStr">
        <is>
          <t>-</t>
        </is>
      </c>
      <c r="L7" s="16" t="inlineStr">
        <is>
          <t>docs/architecture/k8s-c4.md, docs/reports/, docs/operations/secrets-backup.md</t>
        </is>
      </c>
      <c r="M7" s="16" t="inlineStr"/>
    </row>
    <row r="8">
      <c r="A8" s="8" t="inlineStr">
        <is>
          <t>DEVOPS-007</t>
        </is>
      </c>
      <c r="B8" s="8" t="inlineStr">
        <is>
          <t>가상화</t>
        </is>
      </c>
      <c r="C8" s="16" t="inlineStr">
        <is>
          <t>Proxmox 3노드 클러스터·VIP</t>
        </is>
      </c>
      <c r="D8" s="16" t="inlineStr">
        <is>
          <t>pve-1·2·3 클러스터 구성, pve-2·3 APT 교체·전체 업그레이드·재부팅, keepalived VIP 192.168.200.100, OpenTofu 접속 주소를 VIP 로, keepalived 설정 저장소 복사</t>
        </is>
      </c>
      <c r="E8" s="8" t="inlineStr">
        <is>
          <t>박가람</t>
        </is>
      </c>
      <c r="F8" s="17" t="n">
        <v>46304</v>
      </c>
      <c r="G8" s="17" t="n">
        <v>46304</v>
      </c>
      <c r="H8" s="8">
        <f>MAX(1,NETWORKDAYS(F8,G8,인덱스!$B$41:$B$47))</f>
        <v/>
      </c>
      <c r="I8" s="8" t="inlineStr">
        <is>
          <t>완료</t>
        </is>
      </c>
      <c r="J8" s="16" t="inlineStr">
        <is>
          <t>NFR-004-01</t>
        </is>
      </c>
      <c r="K8" s="16" t="inlineStr">
        <is>
          <t>-</t>
        </is>
      </c>
      <c r="L8" s="16" t="inlineStr">
        <is>
          <t>configs/keepalived/, 10/09/01–04, 28</t>
        </is>
      </c>
      <c r="M8" s="16" t="inlineStr"/>
    </row>
    <row r="9">
      <c r="A9" s="8" t="inlineStr">
        <is>
          <t>DEVOPS-008</t>
        </is>
      </c>
      <c r="B9" s="8" t="inlineStr">
        <is>
          <t>네트워크</t>
        </is>
      </c>
      <c r="C9" s="16" t="inlineStr">
        <is>
          <t>두 번째 망·corosync 2링크</t>
        </is>
      </c>
      <c r="D9" s="16" t="inlineStr">
        <is>
          <t>세 노드 nic1 을 두 번째 망(172.16.200.0/24, 별도 스위치)으로 연결, corosync 두 번째 링크·링크 전환 시험(선 뽑기), pve-1 vmbr0 포트 변경, 공유기 DHCP 범위 축소·호스트 주소 등록, interfaces 정리</t>
        </is>
      </c>
      <c r="E9" s="8" t="inlineStr">
        <is>
          <t>박가람</t>
        </is>
      </c>
      <c r="F9" s="17" t="n">
        <v>46304</v>
      </c>
      <c r="G9" s="17" t="n">
        <v>46304</v>
      </c>
      <c r="H9" s="8">
        <f>MAX(1,NETWORKDAYS(F9,G9,인덱스!$B$41:$B$47))</f>
        <v/>
      </c>
      <c r="I9" s="8" t="inlineStr">
        <is>
          <t>완료</t>
        </is>
      </c>
      <c r="J9" s="16" t="inlineStr">
        <is>
          <t>NFR-004-01</t>
        </is>
      </c>
      <c r="K9" s="16" t="inlineStr">
        <is>
          <t>-</t>
        </is>
      </c>
      <c r="L9" s="16" t="inlineStr">
        <is>
          <t>docs/architecture/proxmox-cluster.md, 10/09/06–12, 16, 29</t>
        </is>
      </c>
      <c r="M9" s="16" t="inlineStr"/>
    </row>
    <row r="10">
      <c r="A10" s="8" t="inlineStr">
        <is>
          <t>DEVOPS-009</t>
        </is>
      </c>
      <c r="B10" s="8" t="inlineStr">
        <is>
          <t>클러스터</t>
        </is>
      </c>
      <c r="C10" s="16" t="inlineStr">
        <is>
          <t>컨트롤 플레인 3대·워커 3대로 확장</t>
        </is>
      </c>
      <c r="D10" s="16" t="inlineStr">
        <is>
          <t>컨트롤 플레인 3대로 늘리고 k8s VM 을 노드별로 분산, 세 번째 워커 추가, VM 사양 상향(CP 4 GB, 워커 4 vCPU·8 GB), dev·stage 쿼터 재조정</t>
        </is>
      </c>
      <c r="E10" s="8" t="inlineStr">
        <is>
          <t>박가람</t>
        </is>
      </c>
      <c r="F10" s="17" t="n">
        <v>46304</v>
      </c>
      <c r="G10" s="17" t="n">
        <v>46304</v>
      </c>
      <c r="H10" s="8">
        <f>MAX(1,NETWORKDAYS(F10,G10,인덱스!$B$41:$B$47))</f>
        <v/>
      </c>
      <c r="I10" s="8" t="inlineStr">
        <is>
          <t>완료</t>
        </is>
      </c>
      <c r="J10" s="16" t="inlineStr">
        <is>
          <t>NFR-004-02, NFR-002-01</t>
        </is>
      </c>
      <c r="K10" s="16" t="inlineStr">
        <is>
          <t>-</t>
        </is>
      </c>
      <c r="L10" s="16" t="inlineStr">
        <is>
          <t>tofu/, k8s/namespaces/, 10/09/13–15, 33</t>
        </is>
      </c>
      <c r="M10" s="16" t="inlineStr"/>
    </row>
    <row r="11">
      <c r="A11" s="8" t="inlineStr">
        <is>
          <t>DEVOPS-010</t>
        </is>
      </c>
      <c r="B11" s="8" t="inlineStr">
        <is>
          <t>장애시험</t>
        </is>
      </c>
      <c r="C11" s="16" t="inlineStr">
        <is>
          <t>장애 시험 1차</t>
        </is>
      </c>
      <c r="D11" s="16" t="inlineStr">
        <is>
          <t>pve-2 의 VM 강제 종료(호스트 장애), pve-1 업그레이드·재부팅 관찰, pve-2 재부팅으로 API VIP·LoadBalancer IP·etcd 리더 전환, k8s-cp-1 라이브 마이그레이션 왕복</t>
        </is>
      </c>
      <c r="E11" s="8" t="inlineStr">
        <is>
          <t>박가람</t>
        </is>
      </c>
      <c r="F11" s="17" t="n">
        <v>46304</v>
      </c>
      <c r="G11" s="17" t="n">
        <v>46304</v>
      </c>
      <c r="H11" s="8">
        <f>MAX(1,NETWORKDAYS(F11,G11,인덱스!$B$41:$B$47))</f>
        <v/>
      </c>
      <c r="I11" s="8" t="inlineStr">
        <is>
          <t>완료</t>
        </is>
      </c>
      <c r="J11" s="16" t="inlineStr">
        <is>
          <t>NFR-004-01</t>
        </is>
      </c>
      <c r="K11" s="16" t="inlineStr">
        <is>
          <t>-</t>
        </is>
      </c>
      <c r="L11" s="16" t="inlineStr">
        <is>
          <t>10/09/14, 34, 35, 37</t>
        </is>
      </c>
      <c r="M11" s="16" t="inlineStr"/>
    </row>
    <row r="12">
      <c r="A12" s="8" t="inlineStr">
        <is>
          <t>DEVOPS-011</t>
        </is>
      </c>
      <c r="B12" s="8" t="inlineStr">
        <is>
          <t>접근</t>
        </is>
      </c>
      <c r="C12" s="16" t="inlineStr">
        <is>
          <t>관리 환경 Mac 이전</t>
        </is>
      </c>
      <c r="D12" s="16" t="inlineStr">
        <is>
          <t>Mac 에서 tofu·talosctl·kubectl 동작 확인, pve-1 의 tofu 상태 파일·비밀 파일 삭제와 정리, 구조 문서·백업 절차 반영</t>
        </is>
      </c>
      <c r="E12" s="8" t="inlineStr">
        <is>
          <t>박가람</t>
        </is>
      </c>
      <c r="F12" s="17" t="n">
        <v>46304</v>
      </c>
      <c r="G12" s="17" t="n">
        <v>46304</v>
      </c>
      <c r="H12" s="8">
        <f>MAX(1,NETWORKDAYS(F12,G12,인덱스!$B$41:$B$47))</f>
        <v/>
      </c>
      <c r="I12" s="8" t="inlineStr">
        <is>
          <t>완료</t>
        </is>
      </c>
      <c r="J12" s="16" t="inlineStr">
        <is>
          <t>NFR-003-04</t>
        </is>
      </c>
      <c r="K12" s="16" t="inlineStr">
        <is>
          <t>-</t>
        </is>
      </c>
      <c r="L12" s="16" t="inlineStr">
        <is>
          <t>10/09/17, 19, 20, 25, 26, 30</t>
        </is>
      </c>
      <c r="M12" s="16" t="inlineStr"/>
    </row>
    <row r="13">
      <c r="A13" s="8" t="inlineStr">
        <is>
          <t>DEVOPS-012</t>
        </is>
      </c>
      <c r="B13" s="8" t="inlineStr">
        <is>
          <t>접근</t>
        </is>
      </c>
      <c r="C13" s="16" t="inlineStr">
        <is>
          <t>Tailscale 서브넷 라우터 3대·ACL</t>
        </is>
      </c>
      <c r="D13" s="16" t="inlineStr">
        <is>
          <t>pve-1·2·3 을 서브넷 라우터로(192.168.200.0/24 광고), 접근을 장비 3대로 제한, LAN 밖 접속·노드 장애 시 경로 전환 시험, serve 6443 제거</t>
        </is>
      </c>
      <c r="E13" s="8" t="inlineStr">
        <is>
          <t>박가람</t>
        </is>
      </c>
      <c r="F13" s="17" t="n">
        <v>46304</v>
      </c>
      <c r="G13" s="17" t="n">
        <v>46304</v>
      </c>
      <c r="H13" s="8">
        <f>MAX(1,NETWORKDAYS(F13,G13,인덱스!$B$41:$B$47))</f>
        <v/>
      </c>
      <c r="I13" s="8" t="inlineStr">
        <is>
          <t>완료</t>
        </is>
      </c>
      <c r="J13" s="16" t="inlineStr">
        <is>
          <t>NFR-003-03</t>
        </is>
      </c>
      <c r="K13" s="16" t="inlineStr">
        <is>
          <t>-</t>
        </is>
      </c>
      <c r="L13" s="16" t="inlineStr">
        <is>
          <t>10/09/21–24</t>
        </is>
      </c>
      <c r="M13" s="16" t="inlineStr"/>
    </row>
    <row r="14">
      <c r="A14" s="8" t="inlineStr">
        <is>
          <t>DEVOPS-013</t>
        </is>
      </c>
      <c r="B14" s="8" t="inlineStr">
        <is>
          <t>보안</t>
        </is>
      </c>
      <c r="C14" s="16" t="inlineStr">
        <is>
          <t>Proxmox 웹 TLS·백업 매체·PV 보호 방향</t>
        </is>
      </c>
      <c r="D14" s="16" t="inlineStr">
        <is>
          <t>Proxmox 웹 TLS 를 앞단 nginx 로(VIP 인증서 미발급), 백업 매체 USB 결정, PV 보호는 앱 복제 + Longhorn(Proxmox 복제·HA 미사용)</t>
        </is>
      </c>
      <c r="E14" s="8" t="inlineStr">
        <is>
          <t>박가람</t>
        </is>
      </c>
      <c r="F14" s="17" t="n">
        <v>46304</v>
      </c>
      <c r="G14" s="17" t="n">
        <v>46304</v>
      </c>
      <c r="H14" s="8">
        <f>MAX(1,NETWORKDAYS(F14,G14,인덱스!$B$41:$B$47))</f>
        <v/>
      </c>
      <c r="I14" s="8" t="inlineStr">
        <is>
          <t>완료</t>
        </is>
      </c>
      <c r="J14" s="16" t="inlineStr">
        <is>
          <t>NFR-003-01, NFR-004-01</t>
        </is>
      </c>
      <c r="K14" s="16" t="inlineStr">
        <is>
          <t>-</t>
        </is>
      </c>
      <c r="L14" s="16" t="inlineStr">
        <is>
          <t>10/09/18, 27, 38</t>
        </is>
      </c>
      <c r="M14" s="16" t="inlineStr"/>
    </row>
    <row r="15">
      <c r="A15" s="8" t="inlineStr">
        <is>
          <t>DEVOPS-014</t>
        </is>
      </c>
      <c r="B15" s="8" t="inlineStr">
        <is>
          <t>스토리지</t>
        </is>
      </c>
      <c r="C15" s="16" t="inlineStr">
        <is>
          <t>Longhorn 설치·시험</t>
        </is>
      </c>
      <c r="D15" s="16" t="inlineStr">
        <is>
          <t>Longhorn 설치, 쓰기 속도(51 MB/s)·워커 장애 조치·메모리 시험, 유지 결정</t>
        </is>
      </c>
      <c r="E15" s="8" t="inlineStr">
        <is>
          <t>박가람</t>
        </is>
      </c>
      <c r="F15" s="17" t="n">
        <v>46305</v>
      </c>
      <c r="G15" s="17" t="n">
        <v>46305</v>
      </c>
      <c r="H15" s="8">
        <f>MAX(1,NETWORKDAYS(F15,G15,인덱스!$B$41:$B$47))</f>
        <v/>
      </c>
      <c r="I15" s="8" t="inlineStr">
        <is>
          <t>완료</t>
        </is>
      </c>
      <c r="J15" s="16" t="inlineStr">
        <is>
          <t>NFR-004-01</t>
        </is>
      </c>
      <c r="K15" s="16" t="inlineStr">
        <is>
          <t>-</t>
        </is>
      </c>
      <c r="L15" s="16" t="inlineStr">
        <is>
          <t>k8s/longhorn/values.yaml, 10/10/01</t>
        </is>
      </c>
      <c r="M15" s="16" t="inlineStr"/>
    </row>
    <row r="16">
      <c r="A16" s="8" t="inlineStr">
        <is>
          <t>DEVOPS-015</t>
        </is>
      </c>
      <c r="B16" s="8" t="inlineStr">
        <is>
          <t>문서</t>
        </is>
      </c>
      <c r="C16" s="16" t="inlineStr">
        <is>
          <t>할 일 체계 정비</t>
        </is>
      </c>
      <c r="D16" s="16" t="inlineStr">
        <is>
          <t>docs/history 날짜 폴더·순번, works.md → .ai-workflow/works(todo·doing·done), 전역 번호 W1–W62, 에이전트 7개로 인프라 현황 조사·개선 후보 등록·3차 검토, 결정 필요 열</t>
        </is>
      </c>
      <c r="E16" s="8" t="inlineStr">
        <is>
          <t>박가람</t>
        </is>
      </c>
      <c r="F16" s="17" t="n">
        <v>46305</v>
      </c>
      <c r="G16" s="17" t="n">
        <v>46305</v>
      </c>
      <c r="H16" s="8">
        <f>MAX(1,NETWORKDAYS(F16,G16,인덱스!$B$41:$B$47))</f>
        <v/>
      </c>
      <c r="I16" s="8" t="inlineStr">
        <is>
          <t>완료</t>
        </is>
      </c>
      <c r="J16" s="16" t="inlineStr">
        <is>
          <t>-</t>
        </is>
      </c>
      <c r="K16" s="16" t="inlineStr">
        <is>
          <t>-</t>
        </is>
      </c>
      <c r="L16" s="16" t="inlineStr">
        <is>
          <t>.ai-workflow/works/main.md, 10/10/02–09, 24, 38</t>
        </is>
      </c>
      <c r="M16" s="16" t="inlineStr"/>
    </row>
    <row r="17">
      <c r="A17" s="8" t="inlineStr">
        <is>
          <t>DEVOPS-016</t>
        </is>
      </c>
      <c r="B17" s="8" t="inlineStr">
        <is>
          <t>클러스터</t>
        </is>
      </c>
      <c r="C17" s="16" t="inlineStr">
        <is>
          <t>설정 보강</t>
        </is>
      </c>
      <c r="D17" s="16" t="inlineStr">
        <is>
          <t>keepalived 템플릿 + render/check 스크립트, dev·stage LimitRange 기본 limits·max, bootstrap.sh 시도 상한·설정된 노드 건너뛰기, 워커 장애 시 파드 축출 대기 60초, 쿼터 메모리 표기·limits 합계 8Gi</t>
        </is>
      </c>
      <c r="E17" s="8" t="inlineStr">
        <is>
          <t>박가람</t>
        </is>
      </c>
      <c r="F17" s="17" t="n">
        <v>46305</v>
      </c>
      <c r="G17" s="17" t="n">
        <v>46305</v>
      </c>
      <c r="H17" s="8">
        <f>MAX(1,NETWORKDAYS(F17,G17,인덱스!$B$41:$B$47))</f>
        <v/>
      </c>
      <c r="I17" s="8" t="inlineStr">
        <is>
          <t>완료</t>
        </is>
      </c>
      <c r="J17" s="16" t="inlineStr">
        <is>
          <t>NFR-004-02</t>
        </is>
      </c>
      <c r="K17" s="16" t="inlineStr">
        <is>
          <t>-</t>
        </is>
      </c>
      <c r="L17" s="16" t="inlineStr">
        <is>
          <t>10/10/10–12, 25, 33, 37</t>
        </is>
      </c>
      <c r="M17" s="16" t="inlineStr"/>
    </row>
    <row r="18">
      <c r="A18" s="8" t="inlineStr">
        <is>
          <t>DEVOPS-017</t>
        </is>
      </c>
      <c r="B18" s="8" t="inlineStr">
        <is>
          <t>관측</t>
        </is>
      </c>
      <c r="C18" s="16" t="inlineStr">
        <is>
          <t>metrics-server·Hubble</t>
        </is>
      </c>
      <c r="D18" s="16" t="inlineStr">
        <is>
          <t>metrics-server 설치, Cilium 에 Hubble Relay·UI 켜기</t>
        </is>
      </c>
      <c r="E18" s="8" t="inlineStr">
        <is>
          <t>박가람</t>
        </is>
      </c>
      <c r="F18" s="17" t="n">
        <v>46305</v>
      </c>
      <c r="G18" s="17" t="n">
        <v>46305</v>
      </c>
      <c r="H18" s="8">
        <f>MAX(1,NETWORKDAYS(F18,G18,인덱스!$B$41:$B$47))</f>
        <v/>
      </c>
      <c r="I18" s="8" t="inlineStr">
        <is>
          <t>완료</t>
        </is>
      </c>
      <c r="J18" s="16" t="inlineStr">
        <is>
          <t>NFR-004-01</t>
        </is>
      </c>
      <c r="K18" s="16" t="inlineStr">
        <is>
          <t>-</t>
        </is>
      </c>
      <c r="L18" s="16" t="inlineStr">
        <is>
          <t>k8s/metrics-server/, 10/10/14</t>
        </is>
      </c>
      <c r="M18" s="16" t="inlineStr"/>
    </row>
    <row r="19">
      <c r="A19" s="8" t="inlineStr">
        <is>
          <t>DEVOPS-018</t>
        </is>
      </c>
      <c r="B19" s="8" t="inlineStr">
        <is>
          <t>품질</t>
        </is>
      </c>
      <c r="C19" s="16" t="inlineStr">
        <is>
          <t>저장소 품질 검사</t>
        </is>
      </c>
      <c r="D19" s="16" t="inlineStr">
        <is>
          <t>비밀값 커밋 차단 pre-commit(mise + lefthook + gitleaks), shellcheck·`mise run lint`, tofu fmt·validate, yamllint·kubeconform(커밋될 내용 렌더), markdownlint, k8s/apply.sh·루트 kustomization</t>
        </is>
      </c>
      <c r="E19" s="8" t="inlineStr">
        <is>
          <t>박가람</t>
        </is>
      </c>
      <c r="F19" s="17" t="n">
        <v>46305</v>
      </c>
      <c r="G19" s="17" t="n">
        <v>46305</v>
      </c>
      <c r="H19" s="8">
        <f>MAX(1,NETWORKDAYS(F19,G19,인덱스!$B$41:$B$47))</f>
        <v/>
      </c>
      <c r="I19" s="8" t="inlineStr">
        <is>
          <t>완료</t>
        </is>
      </c>
      <c r="J19" s="16" t="inlineStr">
        <is>
          <t>NFR-003-01</t>
        </is>
      </c>
      <c r="K19" s="16" t="inlineStr">
        <is>
          <t>-</t>
        </is>
      </c>
      <c r="L19" s="16" t="inlineStr">
        <is>
          <t>mise.toml, lefthook.yml, k8s/apply.sh, 10/10/15–23</t>
        </is>
      </c>
      <c r="M19" s="16" t="inlineStr">
        <is>
          <t>W52–W57</t>
        </is>
      </c>
    </row>
    <row r="20">
      <c r="A20" s="8" t="inlineStr">
        <is>
          <t>DEVOPS-019</t>
        </is>
      </c>
      <c r="B20" s="8" t="inlineStr">
        <is>
          <t>백업</t>
        </is>
      </c>
      <c r="C20" s="16" t="inlineStr">
        <is>
          <t>백업 체계</t>
        </is>
      </c>
      <c r="D20" s="16" t="inlineStr">
        <is>
          <t>etcd 스냅샷 LaunchAgent 추가 → 손으로 실행하는 통합 backup.sh 로 변경, 비밀값 백업 재생성과 .backups/ 위치·권한, README 명령 모음, NAS 동기화 폴더 사본</t>
        </is>
      </c>
      <c r="E20" s="8" t="inlineStr">
        <is>
          <t>박가람</t>
        </is>
      </c>
      <c r="F20" s="17" t="n">
        <v>46305</v>
      </c>
      <c r="G20" s="17" t="n">
        <v>46305</v>
      </c>
      <c r="H20" s="8">
        <f>MAX(1,NETWORKDAYS(F20,G20,인덱스!$B$41:$B$47))</f>
        <v/>
      </c>
      <c r="I20" s="8" t="inlineStr">
        <is>
          <t>완료</t>
        </is>
      </c>
      <c r="J20" s="16" t="inlineStr">
        <is>
          <t>NFR-003-04, NFR-004-01</t>
        </is>
      </c>
      <c r="K20" s="16" t="inlineStr">
        <is>
          <t>-</t>
        </is>
      </c>
      <c r="L20" s="16" t="inlineStr">
        <is>
          <t>talos/backup.sh, docs/operations/secrets-backup.md, 10/10/13, 26–29, 32</t>
        </is>
      </c>
      <c r="M20" s="16" t="inlineStr">
        <is>
          <t>W35, W36</t>
        </is>
      </c>
    </row>
    <row r="21">
      <c r="A21" s="8" t="inlineStr">
        <is>
          <t>DEVOPS-020</t>
        </is>
      </c>
      <c r="B21" s="8" t="inlineStr">
        <is>
          <t>문서</t>
        </is>
      </c>
      <c r="C21" s="16" t="inlineStr">
        <is>
          <t>운영 문서·단일 출처</t>
        </is>
      </c>
      <c r="D21" s="16" t="inlineStr">
        <is>
          <t>재구축·Talos 업그레이드·접속 경로 runbook 3개, Talos 버전·노드 주소·API VIP 를 tofu/variables.tf 한 곳으로</t>
        </is>
      </c>
      <c r="E21" s="8" t="inlineStr">
        <is>
          <t>박가람</t>
        </is>
      </c>
      <c r="F21" s="17" t="n">
        <v>46305</v>
      </c>
      <c r="G21" s="17" t="n">
        <v>46305</v>
      </c>
      <c r="H21" s="8">
        <f>MAX(1,NETWORKDAYS(F21,G21,인덱스!$B$41:$B$47))</f>
        <v/>
      </c>
      <c r="I21" s="8" t="inlineStr">
        <is>
          <t>완료</t>
        </is>
      </c>
      <c r="J21" s="16" t="inlineStr">
        <is>
          <t>NFR-007-02</t>
        </is>
      </c>
      <c r="K21" s="16" t="inlineStr">
        <is>
          <t>-</t>
        </is>
      </c>
      <c r="L21" s="16" t="inlineStr">
        <is>
          <t>docs/operations/, tofu/variables.tf, 10/10/30, 31</t>
        </is>
      </c>
      <c r="M21" s="16" t="inlineStr">
        <is>
          <t>W37, W41</t>
        </is>
      </c>
    </row>
    <row r="22">
      <c r="A22" s="8" t="inlineStr">
        <is>
          <t>DEVOPS-021</t>
        </is>
      </c>
      <c r="B22" s="8" t="inlineStr">
        <is>
          <t>클러스터</t>
        </is>
      </c>
      <c r="C22" s="16" t="inlineStr">
        <is>
          <t>클러스터 재구축(새 비밀값)</t>
        </is>
      </c>
      <c r="D22" s="16" t="inlineStr">
        <is>
          <t>VM 6대 교체와 새 비밀값으로 전체 재구축 첫 실행, 재구축 뒤 첫 백업 확인, 옛 클러스터 묶음 3개 삭제</t>
        </is>
      </c>
      <c r="E22" s="8" t="inlineStr">
        <is>
          <t>박가람</t>
        </is>
      </c>
      <c r="F22" s="17" t="n">
        <v>46305</v>
      </c>
      <c r="G22" s="17" t="n">
        <v>46305</v>
      </c>
      <c r="H22" s="8">
        <f>MAX(1,NETWORKDAYS(F22,G22,인덱스!$B$41:$B$47))</f>
        <v/>
      </c>
      <c r="I22" s="8" t="inlineStr">
        <is>
          <t>완료</t>
        </is>
      </c>
      <c r="J22" s="16" t="inlineStr">
        <is>
          <t>NFR-003-04</t>
        </is>
      </c>
      <c r="K22" s="16" t="inlineStr">
        <is>
          <t>-</t>
        </is>
      </c>
      <c r="L22" s="16" t="inlineStr">
        <is>
          <t>10/10/34, 36</t>
        </is>
      </c>
      <c r="M22" s="16" t="inlineStr">
        <is>
          <t>W63. tofu replace/destroy 는 사용자가 실행</t>
        </is>
      </c>
    </row>
    <row r="23">
      <c r="A23" s="8" t="inlineStr">
        <is>
          <t>DEVOPS-022</t>
        </is>
      </c>
      <c r="B23" s="8" t="inlineStr">
        <is>
          <t>장애시험</t>
        </is>
      </c>
      <c r="C23" s="16" t="inlineStr">
        <is>
          <t>전원 차단 시험</t>
        </is>
      </c>
      <c r="D23" s="16" t="inlineStr">
        <is>
          <t>pve-2 정상 종료·전원 끔, 다시 켠 뒤 pve-3 정상 종료·전원 끔 — 클러스터 동작 관찰</t>
        </is>
      </c>
      <c r="E23" s="8" t="inlineStr">
        <is>
          <t>박가람</t>
        </is>
      </c>
      <c r="F23" s="17" t="n">
        <v>46308</v>
      </c>
      <c r="G23" s="17" t="n">
        <v>46309</v>
      </c>
      <c r="H23" s="8">
        <f>MAX(1,NETWORKDAYS(F23,G23,인덱스!$B$41:$B$47))</f>
        <v/>
      </c>
      <c r="I23" s="8" t="inlineStr">
        <is>
          <t>완료</t>
        </is>
      </c>
      <c r="J23" s="16" t="inlineStr">
        <is>
          <t>NFR-004-01</t>
        </is>
      </c>
      <c r="K23" s="16" t="inlineStr">
        <is>
          <t>-</t>
        </is>
      </c>
      <c r="L23" s="16" t="inlineStr">
        <is>
          <t>10/13/01, 02</t>
        </is>
      </c>
      <c r="M23" s="16" t="inlineStr">
        <is>
          <t>기록 커밋 10/14</t>
        </is>
      </c>
    </row>
    <row r="24">
      <c r="A24" s="8" t="inlineStr">
        <is>
          <t>DEVOPS-023</t>
        </is>
      </c>
      <c r="B24" s="8" t="inlineStr">
        <is>
          <t>네트워크</t>
        </is>
      </c>
      <c r="C24" s="16" t="inlineStr">
        <is>
          <t>prd 네임스페이스·Cilium Ingress</t>
        </is>
      </c>
      <c r="D24" s="16" t="inlineStr">
        <is>
          <t>prd 네임스페이스(PSA restricted), Cilium Ingress 를 켜 LoadBalancer 하나(192.168.200.131)로 도메인별 라우팅</t>
        </is>
      </c>
      <c r="E24" s="8" t="inlineStr">
        <is>
          <t>박가람</t>
        </is>
      </c>
      <c r="F24" s="17" t="n">
        <v>46311</v>
      </c>
      <c r="G24" s="17" t="n">
        <v>46311</v>
      </c>
      <c r="H24" s="8">
        <f>MAX(1,NETWORKDAYS(F24,G24,인덱스!$B$41:$B$47))</f>
        <v/>
      </c>
      <c r="I24" s="8" t="inlineStr">
        <is>
          <t>완료</t>
        </is>
      </c>
      <c r="J24" s="16" t="inlineStr">
        <is>
          <t>NFR-002-01, NFR-005-01</t>
        </is>
      </c>
      <c r="K24" s="16" t="inlineStr">
        <is>
          <t>-</t>
        </is>
      </c>
      <c r="L24" s="16" t="inlineStr">
        <is>
          <t>k8s/namespaces/prd.yaml, k8s/cilium/values.yaml, 10/16/01</t>
        </is>
      </c>
      <c r="M24" s="16" t="inlineStr">
        <is>
          <t>W65 일부</t>
        </is>
      </c>
    </row>
    <row r="25">
      <c r="A25" s="8" t="inlineStr">
        <is>
          <t>DEVOPS-024</t>
        </is>
      </c>
      <c r="B25" s="8" t="inlineStr">
        <is>
          <t>배포</t>
        </is>
      </c>
      <c r="C25" s="16" t="inlineStr">
        <is>
          <t>프로토타입 dev 배포·앱 비밀값 규칙</t>
        </is>
      </c>
      <c r="D25" s="16" t="inlineStr">
        <is>
          <t>Jeju-subsidence-AI 프로토타입을 dev 에 올리고 jeju-ai.dev.innopam.net 으로 열기, 앱 비밀값은 저장소 안 secrets/(gitignore)에 두고 백업에 포함</t>
        </is>
      </c>
      <c r="E25" s="8" t="inlineStr">
        <is>
          <t>박가람</t>
        </is>
      </c>
      <c r="F25" s="17" t="n">
        <v>46314</v>
      </c>
      <c r="G25" s="17" t="n">
        <v>46314</v>
      </c>
      <c r="H25" s="8">
        <f>MAX(1,NETWORKDAYS(F25,G25,인덱스!$B$41:$B$47))</f>
        <v/>
      </c>
      <c r="I25" s="8" t="inlineStr">
        <is>
          <t>완료</t>
        </is>
      </c>
      <c r="J25" s="16" t="inlineStr">
        <is>
          <t>NFR-005-01, NFR-003-04</t>
        </is>
      </c>
      <c r="K25" s="16" t="inlineStr">
        <is>
          <t>-</t>
        </is>
      </c>
      <c r="L25" s="16" t="inlineStr">
        <is>
          <t>10/19/01–03</t>
        </is>
      </c>
      <c r="M25" s="16" t="inlineStr">
        <is>
          <t>10/20 에 jeju-ai-saas 로 교체</t>
        </is>
      </c>
    </row>
    <row r="26">
      <c r="A26" s="8" t="inlineStr">
        <is>
          <t>DEVOPS-025</t>
        </is>
      </c>
      <c r="B26" s="8" t="inlineStr">
        <is>
          <t>CI</t>
        </is>
      </c>
      <c r="C26" s="16" t="inlineStr">
        <is>
          <t>GitHub Actions 러너(ARC)</t>
        </is>
      </c>
      <c r="D26" s="16" t="inlineStr">
        <is>
          <t>dev·stage 쿼터를 각 1.5 CPU·2.5Gi 로 줄여 러너 몫 확보, W64 결정 7개, GitHub App 생성·설치·러너 그룹 dev0, ARC 설치(arc-systems·arc-runners, DinD, egress 제한), 실제 잡 시험(DinD 이미지 빌드) 통과</t>
        </is>
      </c>
      <c r="E26" s="8" t="inlineStr">
        <is>
          <t>박가람</t>
        </is>
      </c>
      <c r="F26" s="17" t="n">
        <v>46314</v>
      </c>
      <c r="G26" s="17" t="n">
        <v>46314</v>
      </c>
      <c r="H26" s="8">
        <f>MAX(1,NETWORKDAYS(F26,G26,인덱스!$B$41:$B$47))</f>
        <v/>
      </c>
      <c r="I26" s="8" t="inlineStr">
        <is>
          <t>완료</t>
        </is>
      </c>
      <c r="J26" s="16" t="inlineStr">
        <is>
          <t>NFR-005-01</t>
        </is>
      </c>
      <c r="K26" s="16" t="inlineStr">
        <is>
          <t>-</t>
        </is>
      </c>
      <c r="L26" s="16" t="inlineStr">
        <is>
          <t>k8s/arc/, 10/19/05–09</t>
        </is>
      </c>
      <c r="M26" s="16" t="inlineStr">
        <is>
          <t>W64. runs-on: dev0</t>
        </is>
      </c>
    </row>
    <row r="27">
      <c r="A27" s="8" t="inlineStr">
        <is>
          <t>DEVOPS-026</t>
        </is>
      </c>
      <c r="B27" s="8" t="inlineStr">
        <is>
          <t>GitOps</t>
        </is>
      </c>
      <c r="C27" s="16" t="inlineStr">
        <is>
          <t>jeju-ai-saas dev 매니페스트·Argo CD 설치</t>
        </is>
      </c>
      <c r="D27" s="16" t="inlineStr">
        <is>
          <t>jeju-ai-saas(FE·API·SeaweedFS) dev 매니페스트, Argo CD + Image Updater 설치(GitHub App 자격, argocd.dev.innopam.net, ImageUpdater CR·kustomization writeback)</t>
        </is>
      </c>
      <c r="E27" s="8" t="inlineStr">
        <is>
          <t>박가람</t>
        </is>
      </c>
      <c r="F27" s="17" t="n">
        <v>46314</v>
      </c>
      <c r="G27" s="17" t="n">
        <v>46314</v>
      </c>
      <c r="H27" s="8">
        <f>MAX(1,NETWORKDAYS(F27,G27,인덱스!$B$41:$B$47))</f>
        <v/>
      </c>
      <c r="I27" s="8" t="inlineStr">
        <is>
          <t>완료</t>
        </is>
      </c>
      <c r="J27" s="16" t="inlineStr">
        <is>
          <t>NFR-004-02, NFR-005-01</t>
        </is>
      </c>
      <c r="K27" s="16" t="inlineStr">
        <is>
          <t>-</t>
        </is>
      </c>
      <c r="L27" s="16" t="inlineStr">
        <is>
          <t>apps/jeju-ai-saas/, k8s/argocd/, 10/19/10, 11</t>
        </is>
      </c>
      <c r="M27" s="16" t="inlineStr">
        <is>
          <t>W67</t>
        </is>
      </c>
    </row>
    <row r="28">
      <c r="A28" s="8" t="inlineStr">
        <is>
          <t>DEVOPS-027</t>
        </is>
      </c>
      <c r="B28" s="8" t="inlineStr">
        <is>
          <t>GitOps</t>
        </is>
      </c>
      <c r="C28" s="16" t="inlineStr">
        <is>
          <t>develop 자동 배포 컷오버</t>
        </is>
      </c>
      <c r="D28" s="16" t="inlineStr">
        <is>
          <t>jeju-ai-saas 를 Argo CD 로 dev 에 올리고 프로토타입 jeju-subsidence-ai 내림(W67 끝), 두 번째 develop push 가 사람 손 없이 반영되는 것 확인</t>
        </is>
      </c>
      <c r="E28" s="8" t="inlineStr">
        <is>
          <t>박가람</t>
        </is>
      </c>
      <c r="F28" s="17" t="n">
        <v>46315</v>
      </c>
      <c r="G28" s="17" t="n">
        <v>46315</v>
      </c>
      <c r="H28" s="8">
        <f>MAX(1,NETWORKDAYS(F28,G28,인덱스!$B$41:$B$47))</f>
        <v/>
      </c>
      <c r="I28" s="8" t="inlineStr">
        <is>
          <t>완료</t>
        </is>
      </c>
      <c r="J28" s="16" t="inlineStr">
        <is>
          <t>NFR-004-02</t>
        </is>
      </c>
      <c r="K28" s="16" t="inlineStr">
        <is>
          <t>-</t>
        </is>
      </c>
      <c r="L28" s="16" t="inlineStr">
        <is>
          <t>10/20/01, ws 10/20/02</t>
        </is>
      </c>
      <c r="M28" s="16" t="inlineStr"/>
    </row>
    <row r="29">
      <c r="A29" s="8" t="inlineStr">
        <is>
          <t>DEVOPS-028</t>
        </is>
      </c>
      <c r="B29" s="8" t="inlineStr">
        <is>
          <t>보안</t>
        </is>
      </c>
      <c r="C29" s="16" t="inlineStr">
        <is>
          <t>Argo CD 계정·백업 갱신</t>
        </is>
      </c>
      <c r="D29" s="16" t="inlineStr">
        <is>
          <t>초기 admin Secret 삭제·비밀번호 교체, 읽기 전용 임시 계정 temp, 비밀 파일 백업 갱신</t>
        </is>
      </c>
      <c r="E29" s="8" t="inlineStr">
        <is>
          <t>박가람</t>
        </is>
      </c>
      <c r="F29" s="17" t="n">
        <v>46315</v>
      </c>
      <c r="G29" s="17" t="n">
        <v>46315</v>
      </c>
      <c r="H29" s="8">
        <f>MAX(1,NETWORKDAYS(F29,G29,인덱스!$B$41:$B$47))</f>
        <v/>
      </c>
      <c r="I29" s="8" t="inlineStr">
        <is>
          <t>완료</t>
        </is>
      </c>
      <c r="J29" s="16" t="inlineStr">
        <is>
          <t>NFR-003-04, NFR-003-05</t>
        </is>
      </c>
      <c r="K29" s="16" t="inlineStr">
        <is>
          <t>-</t>
        </is>
      </c>
      <c r="L29" s="16" t="inlineStr">
        <is>
          <t>10/20/02, 04</t>
        </is>
      </c>
      <c r="M29" s="16" t="inlineStr"/>
    </row>
    <row r="30">
      <c r="A30" s="8" t="inlineStr">
        <is>
          <t>DEVOPS-029</t>
        </is>
      </c>
      <c r="B30" s="8" t="inlineStr">
        <is>
          <t>CI</t>
        </is>
      </c>
      <c r="C30" s="16" t="inlineStr">
        <is>
          <t>official-website build-push 워크플로</t>
        </is>
      </c>
      <c r="D30" s="16" t="inlineStr">
        <is>
          <t>GitHub Actions(ubuntu-latest)에서 이미지 빌드·GHCR push, release 브랜치, 태그 규칙</t>
        </is>
      </c>
      <c r="E30" s="8" t="inlineStr">
        <is>
          <t>박가람</t>
        </is>
      </c>
      <c r="F30" s="17" t="n">
        <v>46316</v>
      </c>
      <c r="G30" s="17" t="n">
        <v>46317</v>
      </c>
      <c r="H30" s="8">
        <f>MAX(1,NETWORKDAYS(F30,G30,인덱스!$B$41:$B$47))</f>
        <v/>
      </c>
      <c r="I30" s="8" t="inlineStr">
        <is>
          <t>예정</t>
        </is>
      </c>
      <c r="J30" s="16" t="inlineStr">
        <is>
          <t>NFR-005-01</t>
        </is>
      </c>
      <c r="K30" s="16" t="inlineStr">
        <is>
          <t>-</t>
        </is>
      </c>
      <c r="L30" s="16" t="inlineStr">
        <is>
          <t>W66</t>
        </is>
      </c>
      <c r="M30" s="16" t="inlineStr"/>
    </row>
    <row r="31">
      <c r="A31" s="8" t="inlineStr">
        <is>
          <t>DEVOPS-030</t>
        </is>
      </c>
      <c r="B31" s="8" t="inlineStr">
        <is>
          <t>관측</t>
        </is>
      </c>
      <c r="C31" s="16" t="inlineStr">
        <is>
          <t>모니터링·알림</t>
        </is>
      </c>
      <c r="D31" s="16" t="inlineStr">
        <is>
          <t>kube-prometheus-stack(보존 7일·PV 10 GB longhorn), NotReady·파드 재시작·디스크 포화 알림, Hubble UI 확인</t>
        </is>
      </c>
      <c r="E31" s="8" t="inlineStr">
        <is>
          <t>박가람</t>
        </is>
      </c>
      <c r="F31" s="17" t="n">
        <v>46318</v>
      </c>
      <c r="G31" s="17" t="n">
        <v>46322</v>
      </c>
      <c r="H31" s="8">
        <f>MAX(1,NETWORKDAYS(F31,G31,인덱스!$B$41:$B$47))</f>
        <v/>
      </c>
      <c r="I31" s="8" t="inlineStr">
        <is>
          <t>예정</t>
        </is>
      </c>
      <c r="J31" s="16" t="inlineStr">
        <is>
          <t>NFR-004-01</t>
        </is>
      </c>
      <c r="K31" s="16" t="inlineStr">
        <is>
          <t>-</t>
        </is>
      </c>
      <c r="L31" s="16" t="inlineStr">
        <is>
          <t>W48, W58</t>
        </is>
      </c>
      <c r="M31" s="16" t="inlineStr"/>
    </row>
    <row r="32">
      <c r="A32" s="8" t="inlineStr">
        <is>
          <t>DEVOPS-031</t>
        </is>
      </c>
      <c r="B32" s="8" t="inlineStr">
        <is>
          <t>백업</t>
        </is>
      </c>
      <c r="C32" s="16" t="inlineStr">
        <is>
          <t>Longhorn 백업 대상·스토리지 예약</t>
        </is>
      </c>
      <c r="D32" s="16" t="inlineStr">
        <is>
          <t>backup-target(NAS NFS)을 values 에 코드화, 워커 EPHEMERAL 파티션 예약 비율, 복원 시험</t>
        </is>
      </c>
      <c r="E32" s="8" t="inlineStr">
        <is>
          <t>박가람</t>
        </is>
      </c>
      <c r="F32" s="17" t="n">
        <v>46323</v>
      </c>
      <c r="G32" s="17" t="n">
        <v>46324</v>
      </c>
      <c r="H32" s="8">
        <f>MAX(1,NETWORKDAYS(F32,G32,인덱스!$B$41:$B$47))</f>
        <v/>
      </c>
      <c r="I32" s="8" t="inlineStr">
        <is>
          <t>예정</t>
        </is>
      </c>
      <c r="J32" s="16" t="inlineStr">
        <is>
          <t>NFR-003-04, NFR-004-01</t>
        </is>
      </c>
      <c r="K32" s="16" t="inlineStr">
        <is>
          <t>-</t>
        </is>
      </c>
      <c r="L32" s="16" t="inlineStr">
        <is>
          <t>W49, W50</t>
        </is>
      </c>
      <c r="M32" s="16" t="inlineStr">
        <is>
          <t>결정 필요</t>
        </is>
      </c>
    </row>
    <row r="33">
      <c r="A33" s="8" t="inlineStr">
        <is>
          <t>DEVOPS-032</t>
        </is>
      </c>
      <c r="B33" s="8" t="inlineStr">
        <is>
          <t>장애시험</t>
        </is>
      </c>
      <c r="C33" s="16" t="inlineStr">
        <is>
          <t>장애 시험 2차</t>
        </is>
      </c>
      <c r="D33" s="16" t="inlineStr">
        <is>
          <t>컨트롤 플레인 2대 동시 불능(쿼럼 상실), Longhorn 복제본 워커 중단, 디스크 포화 — 복귀 시간·상태 기록</t>
        </is>
      </c>
      <c r="E33" s="8" t="inlineStr">
        <is>
          <t>박가람</t>
        </is>
      </c>
      <c r="F33" s="17" t="n">
        <v>46325</v>
      </c>
      <c r="G33" s="17" t="n">
        <v>46328</v>
      </c>
      <c r="H33" s="8">
        <f>MAX(1,NETWORKDAYS(F33,G33,인덱스!$B$41:$B$47))</f>
        <v/>
      </c>
      <c r="I33" s="8" t="inlineStr">
        <is>
          <t>예정</t>
        </is>
      </c>
      <c r="J33" s="16" t="inlineStr">
        <is>
          <t>NFR-004-01</t>
        </is>
      </c>
      <c r="K33" s="16" t="inlineStr">
        <is>
          <t>-</t>
        </is>
      </c>
      <c r="L33" s="16" t="inlineStr">
        <is>
          <t>W42</t>
        </is>
      </c>
      <c r="M33" s="16" t="inlineStr"/>
    </row>
    <row r="34">
      <c r="A34" s="8" t="inlineStr">
        <is>
          <t>DEVOPS-033</t>
        </is>
      </c>
      <c r="B34" s="8" t="inlineStr">
        <is>
          <t>보안</t>
        </is>
      </c>
      <c r="C34" s="16" t="inlineStr">
        <is>
          <t>인증서·접근 경로 정리</t>
        </is>
      </c>
      <c r="D34" s="16" t="inlineStr">
        <is>
          <t>Proxmox 인증서 SAN 재발급·CA 신뢰, nginx 경유 VM 콘솔(WebSocket)·VIP 직접 접속 우회 확인, LimitRange max 결정 반영</t>
        </is>
      </c>
      <c r="E34" s="8" t="inlineStr">
        <is>
          <t>박가람</t>
        </is>
      </c>
      <c r="F34" s="17" t="n">
        <v>46329</v>
      </c>
      <c r="G34" s="17" t="n">
        <v>46330</v>
      </c>
      <c r="H34" s="8">
        <f>MAX(1,NETWORKDAYS(F34,G34,인덱스!$B$41:$B$47))</f>
        <v/>
      </c>
      <c r="I34" s="8" t="inlineStr">
        <is>
          <t>예정</t>
        </is>
      </c>
      <c r="J34" s="16" t="inlineStr">
        <is>
          <t>NFR-003-01</t>
        </is>
      </c>
      <c r="K34" s="16" t="inlineStr">
        <is>
          <t>-</t>
        </is>
      </c>
      <c r="L34" s="16" t="inlineStr">
        <is>
          <t>W43, W47, W59</t>
        </is>
      </c>
      <c r="M34" s="16" t="inlineStr"/>
    </row>
    <row r="35">
      <c r="A35" s="8" t="inlineStr">
        <is>
          <t>DEVOPS-034</t>
        </is>
      </c>
      <c r="B35" s="8" t="inlineStr">
        <is>
          <t>DB</t>
        </is>
      </c>
      <c r="C35" s="16" t="inlineStr">
        <is>
          <t>PostgreSQL 운영 구성</t>
        </is>
      </c>
      <c r="D35" s="16" t="inlineStr">
        <is>
          <t>CloudNativePG 3복제, Longhorn PV, 백업(WAL·스냅샷)·복원 시험, 시크릿 관리, dev 부터 적용</t>
        </is>
      </c>
      <c r="E35" s="8" t="inlineStr">
        <is>
          <t>박가람</t>
        </is>
      </c>
      <c r="F35" s="17" t="n">
        <v>46331</v>
      </c>
      <c r="G35" s="17" t="n">
        <v>46336</v>
      </c>
      <c r="H35" s="8">
        <f>MAX(1,NETWORKDAYS(F35,G35,인덱스!$B$41:$B$47))</f>
        <v/>
      </c>
      <c r="I35" s="8" t="inlineStr">
        <is>
          <t>예정</t>
        </is>
      </c>
      <c r="J35" s="16" t="inlineStr">
        <is>
          <t>NFR-004-01, NFR-003-04</t>
        </is>
      </c>
      <c r="K35" s="16" t="inlineStr">
        <is>
          <t>-</t>
        </is>
      </c>
      <c r="L35" s="16" t="inlineStr">
        <is>
          <t>apps/jeju-ai-saas/</t>
        </is>
      </c>
      <c r="M35" s="16" t="inlineStr">
        <is>
          <t>BE 메타데이터 DB 전환 지원 (W16 방향)</t>
        </is>
      </c>
    </row>
    <row r="36">
      <c r="A36" s="8" t="inlineStr">
        <is>
          <t>DEVOPS-035</t>
        </is>
      </c>
      <c r="B36" s="8" t="inlineStr">
        <is>
          <t>배포</t>
        </is>
      </c>
      <c r="C36" s="16" t="inlineStr">
        <is>
          <t>타일 제공 구성</t>
        </is>
      </c>
      <c r="D36" s="16" t="inlineStr">
        <is>
          <t>PMTiles 를 S3 range 요청으로 직접 제공하거나 martin 타일 서버 배포, Ingress 캐시·압축, 용량·대역폭 확인</t>
        </is>
      </c>
      <c r="E36" s="8" t="inlineStr">
        <is>
          <t>박가람</t>
        </is>
      </c>
      <c r="F36" s="17" t="n">
        <v>46337</v>
      </c>
      <c r="G36" s="17" t="n">
        <v>46339</v>
      </c>
      <c r="H36" s="8">
        <f>MAX(1,NETWORKDAYS(F36,G36,인덱스!$B$41:$B$47))</f>
        <v/>
      </c>
      <c r="I36" s="8" t="inlineStr">
        <is>
          <t>예정</t>
        </is>
      </c>
      <c r="J36" s="16" t="inlineStr">
        <is>
          <t>NFR-001-01</t>
        </is>
      </c>
      <c r="K36" s="16" t="inlineStr">
        <is>
          <t>-</t>
        </is>
      </c>
      <c r="L36" s="16" t="inlineStr">
        <is>
          <t>apps/jeju-ai-saas/</t>
        </is>
      </c>
      <c r="M36" s="16" t="inlineStr">
        <is>
          <t>BE 벡터 타일 전환과 함께</t>
        </is>
      </c>
    </row>
    <row r="37">
      <c r="A37" s="8" t="inlineStr">
        <is>
          <t>DEVOPS-036</t>
        </is>
      </c>
      <c r="B37" s="8" t="inlineStr">
        <is>
          <t>배포</t>
        </is>
      </c>
      <c r="C37" s="16" t="inlineStr">
        <is>
          <t>stage 환경·승격 절차</t>
        </is>
      </c>
      <c r="D37" s="16" t="inlineStr">
        <is>
          <t>stage 네임스페이스에 jeju-ai-saas 배포, develop → stage 수동 승격(태그 고정), 롤백 절차</t>
        </is>
      </c>
      <c r="E37" s="8" t="inlineStr">
        <is>
          <t>박가람</t>
        </is>
      </c>
      <c r="F37" s="17" t="n">
        <v>46342</v>
      </c>
      <c r="G37" s="17" t="n">
        <v>46344</v>
      </c>
      <c r="H37" s="8">
        <f>MAX(1,NETWORKDAYS(F37,G37,인덱스!$B$41:$B$47))</f>
        <v/>
      </c>
      <c r="I37" s="8" t="inlineStr">
        <is>
          <t>예정</t>
        </is>
      </c>
      <c r="J37" s="16" t="inlineStr">
        <is>
          <t>NFR-004-02</t>
        </is>
      </c>
      <c r="K37" s="16" t="inlineStr">
        <is>
          <t>-</t>
        </is>
      </c>
      <c r="L37" s="16" t="inlineStr">
        <is>
          <t>apps/jeju-ai-saas/overlays/stage</t>
        </is>
      </c>
      <c r="M37" s="16" t="inlineStr"/>
    </row>
  </sheetData>
  <autoFilter ref="A1:M37"/>
  <conditionalFormatting sqref="I2:I37">
    <cfRule type="cellIs" priority="1" operator="equal" dxfId="0">
      <formula>"완료"</formula>
    </cfRule>
    <cfRule type="cellIs" priority="2" operator="equal" dxfId="1">
      <formula>"진행"</formula>
    </cfRule>
    <cfRule type="cellIs" priority="3" operator="equal" dxfId="2">
      <formula>"예정"</formula>
    </cfRule>
  </conditionalFormatting>
  <dataValidations count="1">
    <dataValidation sqref="I2:I500" showDropDown="0" showInputMessage="0" showErrorMessage="0" allowBlank="0" type="list">
      <formula1>"완료,진행,예정"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2026-10-20T02:14:26Z</dcterms:created>
  <dcterms:modified xmlns:dcterms="http://purl.org/dc/terms/" xmlns:xsi="http://www.w3.org/2001/XMLSchema-instance" xsi:type="dcterms:W3CDTF">2026-10-20T02:14:26Z</dcterms:modified>
</cp:coreProperties>
</file>